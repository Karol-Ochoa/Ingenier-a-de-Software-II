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ol\Downloads\"/>
    </mc:Choice>
  </mc:AlternateContent>
  <xr:revisionPtr revIDLastSave="0" documentId="8_{E271E4E2-631D-4AD8-8B78-D0AE563C3BE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Estimación" sheetId="1" r:id="rId1"/>
    <sheet name="Cost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8" i="1" l="1"/>
  <c r="H7" i="1"/>
  <c r="H9" i="1"/>
  <c r="H10" i="1"/>
  <c r="H11" i="1"/>
  <c r="H12" i="1"/>
  <c r="H13" i="1"/>
  <c r="H14" i="1"/>
  <c r="H15" i="1"/>
  <c r="H5" i="1"/>
  <c r="H6" i="1"/>
  <c r="H16" i="1"/>
  <c r="H17" i="1"/>
  <c r="H18" i="1"/>
  <c r="H19" i="1"/>
  <c r="H20" i="1"/>
  <c r="H4" i="1"/>
  <c r="H21" i="1" l="1"/>
  <c r="J8" i="1" s="1"/>
  <c r="K8" i="1" l="1"/>
  <c r="C5" i="2"/>
  <c r="C9" i="2" s="1"/>
  <c r="C13" i="2" s="1"/>
  <c r="E5" i="2" l="1"/>
  <c r="E9" i="2" s="1"/>
  <c r="K16" i="1"/>
  <c r="C6" i="2"/>
  <c r="L8" i="1"/>
  <c r="F5" i="2"/>
  <c r="F9" i="2" s="1"/>
  <c r="D5" i="2"/>
  <c r="D9" i="2" s="1"/>
  <c r="M8" i="1" l="1"/>
  <c r="C8" i="2" s="1"/>
  <c r="C7" i="2"/>
  <c r="F6" i="2"/>
  <c r="E6" i="2"/>
  <c r="D6" i="2"/>
  <c r="L16" i="1"/>
  <c r="N16" i="1"/>
  <c r="M16" i="1"/>
  <c r="C15" i="2"/>
  <c r="C14" i="2"/>
  <c r="C16" i="2"/>
  <c r="K17" i="1"/>
  <c r="C17" i="2" l="1"/>
  <c r="F8" i="2"/>
  <c r="E8" i="2"/>
  <c r="D8" i="2"/>
  <c r="K18" i="1"/>
  <c r="N18" i="1" s="1"/>
  <c r="F7" i="2"/>
  <c r="E7" i="2"/>
  <c r="D7" i="2"/>
  <c r="F13" i="2"/>
  <c r="D13" i="2"/>
  <c r="E13" i="2"/>
  <c r="D15" i="2"/>
  <c r="F15" i="2"/>
  <c r="E15" i="2"/>
  <c r="D16" i="2"/>
  <c r="F16" i="2"/>
  <c r="E16" i="2"/>
  <c r="F14" i="2"/>
  <c r="D14" i="2"/>
  <c r="E14" i="2"/>
  <c r="L17" i="1"/>
  <c r="M17" i="1"/>
  <c r="N17" i="1"/>
  <c r="D17" i="2" l="1"/>
  <c r="M18" i="1"/>
  <c r="L18" i="1"/>
  <c r="F17" i="2"/>
  <c r="E17" i="2"/>
</calcChain>
</file>

<file path=xl/sharedStrings.xml><?xml version="1.0" encoding="utf-8"?>
<sst xmlns="http://schemas.openxmlformats.org/spreadsheetml/2006/main" count="67" uniqueCount="52">
  <si>
    <t>Estimación de esfuerzos por módulos o componentes</t>
  </si>
  <si>
    <t>Simple</t>
  </si>
  <si>
    <t>Muy fácil</t>
  </si>
  <si>
    <t>Fácil</t>
  </si>
  <si>
    <t>Normal</t>
  </si>
  <si>
    <t>Difícil</t>
  </si>
  <si>
    <t>Horas</t>
  </si>
  <si>
    <t>Total Esfuerzo</t>
  </si>
  <si>
    <t>&lt;Modulo&gt;</t>
  </si>
  <si>
    <t>Muy Dificil</t>
  </si>
  <si>
    <t>Agenda y Recursos</t>
  </si>
  <si>
    <t>Días</t>
  </si>
  <si>
    <t>Semanas</t>
  </si>
  <si>
    <t>Meses</t>
  </si>
  <si>
    <t>1 Recurso</t>
  </si>
  <si>
    <t>2 Recursos</t>
  </si>
  <si>
    <t>3 Recursos</t>
  </si>
  <si>
    <t>4 Recursos</t>
  </si>
  <si>
    <t>Total de esfuerzos</t>
  </si>
  <si>
    <t>semanas</t>
  </si>
  <si>
    <t>meses</t>
  </si>
  <si>
    <t>Tiempo/recursos</t>
  </si>
  <si>
    <t>Total</t>
  </si>
  <si>
    <t>Costo del proyecto</t>
  </si>
  <si>
    <t>Costo x Hora</t>
  </si>
  <si>
    <t>Conceptos/Recursos</t>
  </si>
  <si>
    <t>Desgloce de Proyecto</t>
  </si>
  <si>
    <t>Developer(50%)</t>
  </si>
  <si>
    <t>Costos Fijos(30%)</t>
  </si>
  <si>
    <t>Gastos Extra (10%)</t>
  </si>
  <si>
    <t>Ganancia (10%)</t>
  </si>
  <si>
    <t>Estimación de Costos de proyecto</t>
  </si>
  <si>
    <t>1 Día = 6 hrs</t>
  </si>
  <si>
    <t>1 Mes = 4 semanas</t>
  </si>
  <si>
    <t>1 Semana = 5 días</t>
  </si>
  <si>
    <t>Recopilación de la información gestionada</t>
  </si>
  <si>
    <t>Definición de requisitos para el sistema</t>
  </si>
  <si>
    <t>Selección de gestor de Bases de datos y lenguajes de programación para desarrollar el sistema.</t>
  </si>
  <si>
    <t>Construcción de los diagramas y frameworks</t>
  </si>
  <si>
    <t>Definición de la estructura del sistema</t>
  </si>
  <si>
    <t>Creación de la base de datos</t>
  </si>
  <si>
    <t xml:space="preserve">Migración de la información </t>
  </si>
  <si>
    <t>Implementación piloto del sistema</t>
  </si>
  <si>
    <t>Parcheo y corrección de errores</t>
  </si>
  <si>
    <t>Implementación del producto final</t>
  </si>
  <si>
    <t xml:space="preserve">Mantenimiento </t>
  </si>
  <si>
    <t>Creación del 1er modulo: ingreso de productos al almacén</t>
  </si>
  <si>
    <t>Creación del 2do modulo: Seguimiento de stock</t>
  </si>
  <si>
    <t>Creación del 3er modulo: Alertas de reposición</t>
  </si>
  <si>
    <t>Creación del 4to modulo: Alta de proveedores</t>
  </si>
  <si>
    <t>Creación del 5to modulo: Compra de productos</t>
  </si>
  <si>
    <t>Creación del 6to modulo: Generación de reportes (cálculo de días de inventario, sobreinventario).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</si>
</sst>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2C0A]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4" borderId="0" xfId="0" applyFill="1"/>
    <xf numFmtId="0" fontId="0" fillId="0" borderId="1" xfId="0" applyBorder="1"/>
    <xf numFmtId="0" fontId="0" fillId="5" borderId="1" xfId="0" applyFill="1" applyBorder="1"/>
    <xf numFmtId="0" fontId="3" fillId="3" borderId="1" xfId="0" applyFont="1" applyFill="1" applyBorder="1"/>
    <xf numFmtId="164" fontId="3" fillId="6" borderId="0" xfId="0" applyNumberFormat="1" applyFont="1" applyFill="1"/>
    <xf numFmtId="0" fontId="0" fillId="2" borderId="1" xfId="0" applyFill="1" applyBorder="1"/>
    <xf numFmtId="164" fontId="0" fillId="5" borderId="1" xfId="0" applyNumberFormat="1" applyFill="1" applyBorder="1"/>
    <xf numFmtId="16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6" fillId="5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164" fontId="0" fillId="0" borderId="1" xfId="0" applyNumberFormat="1" applyFill="1" applyBorder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zoomScale="90" zoomScaleNormal="90" workbookViewId="0">
      <selection activeCell="E14" sqref="E14"/>
    </sheetView>
  </sheetViews>
  <sheetFormatPr baseColWidth="10" defaultRowHeight="15" x14ac:dyDescent="0.25"/>
  <cols>
    <col min="1" max="1" width="36.5703125" style="17" customWidth="1"/>
    <col min="2" max="6" width="9.28515625" customWidth="1"/>
    <col min="7" max="7" width="11.140625" customWidth="1"/>
    <col min="8" max="8" width="9.28515625" style="12" customWidth="1"/>
    <col min="9" max="9" width="6.42578125" customWidth="1"/>
    <col min="10" max="10" width="10.140625" customWidth="1"/>
    <col min="11" max="11" width="12.5703125" customWidth="1"/>
    <col min="12" max="14" width="14.42578125" bestFit="1" customWidth="1"/>
  </cols>
  <sheetData>
    <row r="1" spans="1:16" x14ac:dyDescent="0.25">
      <c r="A1" s="19" t="s">
        <v>0</v>
      </c>
      <c r="B1" s="19"/>
      <c r="C1" s="19"/>
      <c r="D1" s="19"/>
      <c r="E1" s="19"/>
      <c r="F1" s="19"/>
      <c r="G1" s="19"/>
      <c r="H1" s="19"/>
    </row>
    <row r="2" spans="1:16" x14ac:dyDescent="0.25">
      <c r="A2" s="19"/>
      <c r="B2" s="19"/>
      <c r="C2" s="19"/>
      <c r="D2" s="19"/>
      <c r="E2" s="19"/>
      <c r="F2" s="19"/>
      <c r="G2" s="19"/>
      <c r="H2" s="19"/>
    </row>
    <row r="3" spans="1:16" x14ac:dyDescent="0.25">
      <c r="A3" s="15" t="s">
        <v>8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9</v>
      </c>
      <c r="H3" s="9" t="s">
        <v>6</v>
      </c>
      <c r="J3" s="4"/>
      <c r="K3" s="4" t="s">
        <v>1</v>
      </c>
      <c r="L3" s="4" t="s">
        <v>2</v>
      </c>
      <c r="M3" s="4" t="s">
        <v>3</v>
      </c>
      <c r="N3" s="4" t="s">
        <v>4</v>
      </c>
      <c r="O3" s="4" t="s">
        <v>5</v>
      </c>
      <c r="P3" s="4" t="s">
        <v>9</v>
      </c>
    </row>
    <row r="4" spans="1:16" ht="17.25" customHeight="1" x14ac:dyDescent="0.25">
      <c r="A4" s="14" t="s">
        <v>35</v>
      </c>
      <c r="B4" s="13">
        <v>1</v>
      </c>
      <c r="C4" s="13"/>
      <c r="D4" s="13"/>
      <c r="E4" s="13"/>
      <c r="F4" s="13"/>
      <c r="G4" s="13"/>
      <c r="H4" s="10">
        <f>(B4*$K$4)+(C4*$L$4)+(D4*$M$4)+(E4*$N$4)+(F4*$O$4)+(G4*$P$4)</f>
        <v>10</v>
      </c>
      <c r="J4" s="2" t="s">
        <v>6</v>
      </c>
      <c r="K4" s="2">
        <v>10</v>
      </c>
      <c r="L4" s="2">
        <v>20</v>
      </c>
      <c r="M4" s="2">
        <v>25</v>
      </c>
      <c r="N4" s="2">
        <v>35</v>
      </c>
      <c r="O4" s="2">
        <v>45</v>
      </c>
      <c r="P4" s="2">
        <v>55</v>
      </c>
    </row>
    <row r="5" spans="1:16" ht="17.25" customHeight="1" x14ac:dyDescent="0.25">
      <c r="A5" s="14" t="s">
        <v>36</v>
      </c>
      <c r="B5" s="13"/>
      <c r="C5" s="13"/>
      <c r="D5" s="13"/>
      <c r="E5" s="13"/>
      <c r="F5" s="13"/>
      <c r="G5" s="13">
        <v>1</v>
      </c>
      <c r="H5" s="10">
        <f t="shared" ref="H5:H14" si="0">(B5*$K$4)+(C5*$L$4)+(D5*$M$4)+(E5*$N$4)+(F5*$O$4)+(G5*$P$4)</f>
        <v>55</v>
      </c>
    </row>
    <row r="6" spans="1:16" ht="17.25" customHeight="1" x14ac:dyDescent="0.25">
      <c r="A6" s="14" t="s">
        <v>37</v>
      </c>
      <c r="B6" s="13"/>
      <c r="C6" s="13"/>
      <c r="D6" s="13"/>
      <c r="E6" s="13"/>
      <c r="F6" s="13">
        <v>1</v>
      </c>
      <c r="G6" s="13"/>
      <c r="H6" s="10">
        <f t="shared" si="0"/>
        <v>45</v>
      </c>
      <c r="J6" t="s">
        <v>18</v>
      </c>
    </row>
    <row r="7" spans="1:16" ht="17.25" customHeight="1" x14ac:dyDescent="0.25">
      <c r="A7" s="14" t="s">
        <v>38</v>
      </c>
      <c r="B7" s="13"/>
      <c r="C7" s="13"/>
      <c r="D7" s="13">
        <v>1</v>
      </c>
      <c r="E7" s="13"/>
      <c r="F7" s="13"/>
      <c r="G7" s="13"/>
      <c r="H7" s="10">
        <f>(B7*$K$4)+(C7*$L$4)+(D7*$M$4)+(E7*$N$4)+(F7*$O$4)+(G7*$P$4)</f>
        <v>25</v>
      </c>
      <c r="J7" s="4" t="s">
        <v>6</v>
      </c>
      <c r="K7" s="4" t="s">
        <v>11</v>
      </c>
      <c r="L7" s="4" t="s">
        <v>19</v>
      </c>
      <c r="M7" s="4" t="s">
        <v>20</v>
      </c>
    </row>
    <row r="8" spans="1:16" ht="17.25" customHeight="1" x14ac:dyDescent="0.25">
      <c r="A8" s="14" t="s">
        <v>39</v>
      </c>
      <c r="B8" s="13"/>
      <c r="C8" s="13"/>
      <c r="D8" s="13"/>
      <c r="E8" s="13"/>
      <c r="F8" s="13"/>
      <c r="G8" s="13">
        <v>1</v>
      </c>
      <c r="H8" s="10">
        <f>(B8*$K$4)+(C8*$L$4)+(D8*$M$4)+(E8*$N$4)+(F8*$O$4)+(G8*$P$4)</f>
        <v>55</v>
      </c>
      <c r="J8" s="2">
        <f>H21</f>
        <v>635</v>
      </c>
      <c r="K8" s="2">
        <f>J8/6</f>
        <v>105.83333333333333</v>
      </c>
      <c r="L8" s="2">
        <f>K8/5</f>
        <v>21.166666666666664</v>
      </c>
      <c r="M8" s="2">
        <f>L8/4</f>
        <v>5.2916666666666661</v>
      </c>
    </row>
    <row r="9" spans="1:16" ht="17.25" customHeight="1" x14ac:dyDescent="0.25">
      <c r="A9" s="14" t="s">
        <v>46</v>
      </c>
      <c r="B9" s="13"/>
      <c r="C9" s="13"/>
      <c r="D9" s="13">
        <v>1</v>
      </c>
      <c r="E9" s="13"/>
      <c r="F9" s="13"/>
      <c r="G9" s="13"/>
      <c r="H9" s="10">
        <f t="shared" si="0"/>
        <v>25</v>
      </c>
    </row>
    <row r="10" spans="1:16" ht="17.25" customHeight="1" x14ac:dyDescent="0.25">
      <c r="A10" s="14" t="s">
        <v>47</v>
      </c>
      <c r="B10" s="13"/>
      <c r="C10" s="13"/>
      <c r="D10" s="13"/>
      <c r="E10" s="13">
        <v>1</v>
      </c>
      <c r="F10" s="13"/>
      <c r="G10" s="13"/>
      <c r="H10" s="10">
        <f t="shared" si="0"/>
        <v>35</v>
      </c>
      <c r="J10" t="s">
        <v>32</v>
      </c>
    </row>
    <row r="11" spans="1:16" ht="17.25" customHeight="1" x14ac:dyDescent="0.25">
      <c r="A11" s="14" t="s">
        <v>48</v>
      </c>
      <c r="B11" s="13"/>
      <c r="C11" s="13"/>
      <c r="D11" s="13"/>
      <c r="E11" s="13">
        <v>1</v>
      </c>
      <c r="F11" s="13"/>
      <c r="G11" s="13"/>
      <c r="H11" s="10">
        <f t="shared" si="0"/>
        <v>35</v>
      </c>
      <c r="J11" t="s">
        <v>34</v>
      </c>
    </row>
    <row r="12" spans="1:16" ht="17.25" customHeight="1" x14ac:dyDescent="0.25">
      <c r="A12" s="14" t="s">
        <v>49</v>
      </c>
      <c r="B12" s="13"/>
      <c r="C12" s="13"/>
      <c r="D12" s="13"/>
      <c r="E12" s="13">
        <v>1</v>
      </c>
      <c r="F12" s="13"/>
      <c r="G12" s="13"/>
      <c r="H12" s="10">
        <f t="shared" si="0"/>
        <v>35</v>
      </c>
      <c r="J12" t="s">
        <v>33</v>
      </c>
    </row>
    <row r="13" spans="1:16" ht="17.25" customHeight="1" x14ac:dyDescent="0.25">
      <c r="A13" s="14" t="s">
        <v>50</v>
      </c>
      <c r="B13" s="13"/>
      <c r="C13" s="13"/>
      <c r="D13" s="13"/>
      <c r="E13" s="13">
        <v>1</v>
      </c>
      <c r="F13" s="13"/>
      <c r="G13" s="13"/>
      <c r="H13" s="10">
        <f t="shared" si="0"/>
        <v>35</v>
      </c>
    </row>
    <row r="14" spans="1:16" ht="17.25" customHeight="1" x14ac:dyDescent="0.25">
      <c r="A14" s="14" t="s">
        <v>51</v>
      </c>
      <c r="B14" s="13"/>
      <c r="C14" s="13"/>
      <c r="D14" s="13"/>
      <c r="E14" s="13"/>
      <c r="F14" s="13">
        <v>1</v>
      </c>
      <c r="G14" s="13"/>
      <c r="H14" s="10">
        <f t="shared" si="0"/>
        <v>45</v>
      </c>
      <c r="J14" t="s">
        <v>10</v>
      </c>
    </row>
    <row r="15" spans="1:16" ht="17.25" customHeight="1" x14ac:dyDescent="0.25">
      <c r="A15" s="14" t="s">
        <v>40</v>
      </c>
      <c r="B15" s="13"/>
      <c r="C15" s="13">
        <v>1</v>
      </c>
      <c r="D15" s="13"/>
      <c r="E15" s="13"/>
      <c r="F15" s="13"/>
      <c r="G15" s="13"/>
      <c r="H15" s="10">
        <f t="shared" ref="H15:H20" si="1">(B15*$K$4)+(C15*$L$4)+(D15*$M$4)+(E15*$N$4)+(F15*$O$4)+(G15*$P$4)</f>
        <v>20</v>
      </c>
      <c r="J15" s="4" t="s">
        <v>6</v>
      </c>
      <c r="K15" s="4" t="s">
        <v>14</v>
      </c>
      <c r="L15" s="4" t="s">
        <v>15</v>
      </c>
      <c r="M15" s="4" t="s">
        <v>16</v>
      </c>
      <c r="N15" s="4" t="s">
        <v>17</v>
      </c>
    </row>
    <row r="16" spans="1:16" ht="17.25" customHeight="1" x14ac:dyDescent="0.25">
      <c r="A16" s="14" t="s">
        <v>41</v>
      </c>
      <c r="B16" s="13"/>
      <c r="C16" s="13"/>
      <c r="D16" s="13"/>
      <c r="E16" s="13"/>
      <c r="F16" s="13">
        <v>1</v>
      </c>
      <c r="G16" s="13"/>
      <c r="H16" s="10">
        <f t="shared" si="1"/>
        <v>45</v>
      </c>
      <c r="J16" s="2" t="s">
        <v>11</v>
      </c>
      <c r="K16" s="2">
        <f>K$8/1</f>
        <v>105.83333333333333</v>
      </c>
      <c r="L16" s="2">
        <f>K16/2</f>
        <v>52.916666666666664</v>
      </c>
      <c r="M16" s="2">
        <f>K16/3</f>
        <v>35.277777777777779</v>
      </c>
      <c r="N16" s="2">
        <f>K16/4</f>
        <v>26.458333333333332</v>
      </c>
    </row>
    <row r="17" spans="1:14" ht="17.25" customHeight="1" x14ac:dyDescent="0.25">
      <c r="A17" s="14" t="s">
        <v>42</v>
      </c>
      <c r="B17" s="13"/>
      <c r="C17" s="13"/>
      <c r="D17" s="13"/>
      <c r="E17" s="13">
        <v>1</v>
      </c>
      <c r="F17" s="13"/>
      <c r="G17" s="13"/>
      <c r="H17" s="10">
        <f t="shared" si="1"/>
        <v>35</v>
      </c>
      <c r="J17" s="2" t="s">
        <v>12</v>
      </c>
      <c r="K17" s="2">
        <f>L$8/1</f>
        <v>21.166666666666664</v>
      </c>
      <c r="L17" s="2">
        <f t="shared" ref="L17:L18" si="2">K17/2</f>
        <v>10.583333333333332</v>
      </c>
      <c r="M17" s="2">
        <f t="shared" ref="M17:M18" si="3">K17/3</f>
        <v>7.0555555555555545</v>
      </c>
      <c r="N17" s="2">
        <f t="shared" ref="N17:N18" si="4">K17/4</f>
        <v>5.2916666666666661</v>
      </c>
    </row>
    <row r="18" spans="1:14" x14ac:dyDescent="0.25">
      <c r="A18" s="14" t="s">
        <v>43</v>
      </c>
      <c r="B18" s="13"/>
      <c r="C18" s="13"/>
      <c r="D18" s="13"/>
      <c r="E18" s="13"/>
      <c r="F18" s="13">
        <v>1</v>
      </c>
      <c r="G18" s="13"/>
      <c r="H18" s="10">
        <f t="shared" si="1"/>
        <v>45</v>
      </c>
      <c r="J18" s="2" t="s">
        <v>13</v>
      </c>
      <c r="K18" s="2">
        <f>M$8/1</f>
        <v>5.2916666666666661</v>
      </c>
      <c r="L18" s="2">
        <f t="shared" si="2"/>
        <v>2.645833333333333</v>
      </c>
      <c r="M18" s="2">
        <f t="shared" si="3"/>
        <v>1.7638888888888886</v>
      </c>
      <c r="N18" s="2">
        <f t="shared" si="4"/>
        <v>1.3229166666666665</v>
      </c>
    </row>
    <row r="19" spans="1:14" x14ac:dyDescent="0.25">
      <c r="A19" s="14" t="s">
        <v>44</v>
      </c>
      <c r="B19" s="13"/>
      <c r="C19" s="13"/>
      <c r="D19" s="13"/>
      <c r="E19" s="13"/>
      <c r="F19" s="13"/>
      <c r="G19" s="13">
        <v>1</v>
      </c>
      <c r="H19" s="10">
        <f t="shared" si="1"/>
        <v>55</v>
      </c>
    </row>
    <row r="20" spans="1:14" x14ac:dyDescent="0.25">
      <c r="A20" s="14" t="s">
        <v>45</v>
      </c>
      <c r="B20" s="13"/>
      <c r="C20" s="13"/>
      <c r="D20" s="13"/>
      <c r="E20" s="13">
        <v>1</v>
      </c>
      <c r="F20" s="13"/>
      <c r="G20" s="13"/>
      <c r="H20" s="10">
        <f t="shared" si="1"/>
        <v>35</v>
      </c>
    </row>
    <row r="21" spans="1:14" x14ac:dyDescent="0.25">
      <c r="A21" s="16" t="s">
        <v>7</v>
      </c>
      <c r="B21" s="3"/>
      <c r="C21" s="3"/>
      <c r="D21" s="3"/>
      <c r="E21" s="3"/>
      <c r="F21" s="3"/>
      <c r="G21" s="3"/>
      <c r="H21" s="11">
        <f>SUM(H4:H20)</f>
        <v>635</v>
      </c>
    </row>
  </sheetData>
  <mergeCells count="1">
    <mergeCell ref="A1:H2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7"/>
  <sheetViews>
    <sheetView tabSelected="1" zoomScale="90" zoomScaleNormal="90" workbookViewId="0">
      <selection activeCell="I10" sqref="I10"/>
    </sheetView>
  </sheetViews>
  <sheetFormatPr baseColWidth="10" defaultRowHeight="15" x14ac:dyDescent="0.25"/>
  <cols>
    <col min="2" max="2" width="21.42578125" customWidth="1"/>
    <col min="3" max="3" width="15.140625" customWidth="1"/>
    <col min="4" max="4" width="14.5703125" customWidth="1"/>
    <col min="9" max="9" width="24.85546875" bestFit="1" customWidth="1"/>
  </cols>
  <sheetData>
    <row r="1" spans="2:9" x14ac:dyDescent="0.25">
      <c r="B1" s="21" t="s">
        <v>31</v>
      </c>
      <c r="C1" s="21"/>
      <c r="D1" s="21"/>
      <c r="E1" s="21"/>
      <c r="F1" s="21"/>
    </row>
    <row r="2" spans="2:9" x14ac:dyDescent="0.25">
      <c r="B2" s="22"/>
      <c r="C2" s="22"/>
      <c r="D2" s="22"/>
      <c r="E2" s="22"/>
      <c r="F2" s="22"/>
      <c r="H2" s="1" t="s">
        <v>24</v>
      </c>
      <c r="I2" s="5">
        <v>250</v>
      </c>
    </row>
    <row r="3" spans="2:9" x14ac:dyDescent="0.25">
      <c r="B3" s="20" t="s">
        <v>23</v>
      </c>
      <c r="C3" s="20"/>
      <c r="D3" s="20"/>
      <c r="E3" s="20"/>
      <c r="F3" s="20"/>
      <c r="H3" s="18"/>
    </row>
    <row r="4" spans="2:9" x14ac:dyDescent="0.25">
      <c r="B4" s="4" t="s">
        <v>21</v>
      </c>
      <c r="C4" s="4">
        <v>1</v>
      </c>
      <c r="D4" s="4">
        <v>2</v>
      </c>
      <c r="E4" s="4">
        <v>3</v>
      </c>
      <c r="F4" s="4">
        <v>4</v>
      </c>
    </row>
    <row r="5" spans="2:9" x14ac:dyDescent="0.25">
      <c r="B5" s="6" t="s">
        <v>6</v>
      </c>
      <c r="C5" s="2">
        <f>Estimación!J8</f>
        <v>635</v>
      </c>
      <c r="D5" s="2">
        <f>C5/2</f>
        <v>317.5</v>
      </c>
      <c r="E5" s="2">
        <f>C5/3</f>
        <v>211.66666666666666</v>
      </c>
      <c r="F5" s="2">
        <f>C5/4</f>
        <v>158.75</v>
      </c>
    </row>
    <row r="6" spans="2:9" x14ac:dyDescent="0.25">
      <c r="B6" s="6" t="s">
        <v>11</v>
      </c>
      <c r="C6" s="2">
        <f>Estimación!K8</f>
        <v>105.83333333333333</v>
      </c>
      <c r="D6" s="2">
        <f t="shared" ref="D6:D8" si="0">C6/2</f>
        <v>52.916666666666664</v>
      </c>
      <c r="E6" s="2">
        <f t="shared" ref="E6:E8" si="1">C6/3</f>
        <v>35.277777777777779</v>
      </c>
      <c r="F6" s="2">
        <f t="shared" ref="F6:F8" si="2">C6/4</f>
        <v>26.458333333333332</v>
      </c>
    </row>
    <row r="7" spans="2:9" x14ac:dyDescent="0.25">
      <c r="B7" s="6" t="s">
        <v>12</v>
      </c>
      <c r="C7" s="2">
        <f>Estimación!L8</f>
        <v>21.166666666666664</v>
      </c>
      <c r="D7" s="2">
        <f t="shared" si="0"/>
        <v>10.583333333333332</v>
      </c>
      <c r="E7" s="2">
        <f t="shared" si="1"/>
        <v>7.0555555555555545</v>
      </c>
      <c r="F7" s="2">
        <f t="shared" si="2"/>
        <v>5.2916666666666661</v>
      </c>
    </row>
    <row r="8" spans="2:9" x14ac:dyDescent="0.25">
      <c r="B8" s="6" t="s">
        <v>13</v>
      </c>
      <c r="C8" s="2">
        <f>Estimación!M8</f>
        <v>5.2916666666666661</v>
      </c>
      <c r="D8" s="2">
        <f t="shared" si="0"/>
        <v>2.645833333333333</v>
      </c>
      <c r="E8" s="2">
        <f t="shared" si="1"/>
        <v>1.7638888888888886</v>
      </c>
      <c r="F8" s="2">
        <f t="shared" si="2"/>
        <v>1.3229166666666665</v>
      </c>
    </row>
    <row r="9" spans="2:9" x14ac:dyDescent="0.25">
      <c r="B9" s="3" t="s">
        <v>22</v>
      </c>
      <c r="C9" s="7">
        <f>C5*$I$2</f>
        <v>158750</v>
      </c>
      <c r="D9" s="7">
        <f t="shared" ref="D9:F9" si="3">D5*$I$2</f>
        <v>79375</v>
      </c>
      <c r="E9" s="7">
        <f t="shared" si="3"/>
        <v>52916.666666666664</v>
      </c>
      <c r="F9" s="7">
        <f t="shared" si="3"/>
        <v>39687.5</v>
      </c>
    </row>
    <row r="11" spans="2:9" x14ac:dyDescent="0.25">
      <c r="B11" s="20" t="s">
        <v>26</v>
      </c>
      <c r="C11" s="20"/>
      <c r="D11" s="20"/>
      <c r="E11" s="20"/>
      <c r="F11" s="20"/>
    </row>
    <row r="12" spans="2:9" x14ac:dyDescent="0.25">
      <c r="B12" s="4" t="s">
        <v>25</v>
      </c>
      <c r="C12" s="4">
        <v>1</v>
      </c>
      <c r="D12" s="4">
        <v>2</v>
      </c>
      <c r="E12" s="4">
        <v>3</v>
      </c>
      <c r="F12" s="4">
        <v>4</v>
      </c>
    </row>
    <row r="13" spans="2:9" x14ac:dyDescent="0.25">
      <c r="B13" s="6" t="s">
        <v>27</v>
      </c>
      <c r="C13" s="8">
        <f>(C9*50)/100</f>
        <v>79375</v>
      </c>
      <c r="D13" s="8">
        <f>C13/2</f>
        <v>39687.5</v>
      </c>
      <c r="E13" s="8">
        <f>C13/3</f>
        <v>26458.333333333332</v>
      </c>
      <c r="F13" s="8">
        <f>C13/4</f>
        <v>19843.75</v>
      </c>
    </row>
    <row r="14" spans="2:9" x14ac:dyDescent="0.25">
      <c r="B14" s="6" t="s">
        <v>28</v>
      </c>
      <c r="C14" s="8">
        <f>(C9*30)/100</f>
        <v>47625</v>
      </c>
      <c r="D14" s="8">
        <f t="shared" ref="D14:D16" si="4">C14/2</f>
        <v>23812.5</v>
      </c>
      <c r="E14" s="8">
        <f t="shared" ref="E14:E16" si="5">C14/3</f>
        <v>15875</v>
      </c>
      <c r="F14" s="8">
        <f t="shared" ref="F14:F16" si="6">C14/4</f>
        <v>11906.25</v>
      </c>
    </row>
    <row r="15" spans="2:9" x14ac:dyDescent="0.25">
      <c r="B15" s="6" t="s">
        <v>29</v>
      </c>
      <c r="C15" s="8">
        <f>(C9*10)/100</f>
        <v>15875</v>
      </c>
      <c r="D15" s="8">
        <f t="shared" si="4"/>
        <v>7937.5</v>
      </c>
      <c r="E15" s="8">
        <f t="shared" si="5"/>
        <v>5291.666666666667</v>
      </c>
      <c r="F15" s="8">
        <f t="shared" si="6"/>
        <v>3968.75</v>
      </c>
    </row>
    <row r="16" spans="2:9" x14ac:dyDescent="0.25">
      <c r="B16" s="6" t="s">
        <v>30</v>
      </c>
      <c r="C16" s="8">
        <f>(C9*10)/100</f>
        <v>15875</v>
      </c>
      <c r="D16" s="8">
        <f t="shared" si="4"/>
        <v>7937.5</v>
      </c>
      <c r="E16" s="8">
        <f t="shared" si="5"/>
        <v>5291.666666666667</v>
      </c>
      <c r="F16" s="8">
        <f t="shared" si="6"/>
        <v>3968.75</v>
      </c>
    </row>
    <row r="17" spans="2:6" x14ac:dyDescent="0.25">
      <c r="B17" s="3" t="s">
        <v>22</v>
      </c>
      <c r="C17" s="7">
        <f>SUM(C13:C16)</f>
        <v>158750</v>
      </c>
      <c r="D17" s="7">
        <f>SUM(D13:D16)</f>
        <v>79375</v>
      </c>
      <c r="E17" s="7">
        <f t="shared" ref="E17:F17" si="7">SUM(E13:E16)</f>
        <v>52916.666666666657</v>
      </c>
      <c r="F17" s="7">
        <f t="shared" si="7"/>
        <v>39687.5</v>
      </c>
    </row>
  </sheetData>
  <mergeCells count="3">
    <mergeCell ref="B3:F3"/>
    <mergeCell ref="B11:F11"/>
    <mergeCell ref="B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Estimación</vt:lpstr>
      <vt:lpstr>Costos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 Tech</dc:creator>
  <cp:lastModifiedBy>karol ochoa</cp:lastModifiedBy>
  <dcterms:created xsi:type="dcterms:W3CDTF">2021-11-08T21:40:05Z</dcterms:created>
  <dcterms:modified xsi:type="dcterms:W3CDTF">2026-02-20T07:53:52Z</dcterms:modified>
</cp:coreProperties>
</file>