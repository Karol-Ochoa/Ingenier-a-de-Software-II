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arol\Downloads\"/>
    </mc:Choice>
  </mc:AlternateContent>
  <xr:revisionPtr revIDLastSave="0" documentId="8_{E9DDF38D-FBEE-4F3D-8E6F-CF2A69A17BF4}" xr6:coauthVersionLast="47" xr6:coauthVersionMax="47" xr10:uidLastSave="{00000000-0000-0000-0000-000000000000}"/>
  <bookViews>
    <workbookView xWindow="-120" yWindow="-120" windowWidth="20730" windowHeight="11040" xr2:uid="{00000000-000D-0000-FFFF-FFFF00000000}"/>
  </bookViews>
  <sheets>
    <sheet name="Hoja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 i="2" l="1"/>
  <c r="O19" i="2"/>
  <c r="O11" i="2"/>
  <c r="O10" i="2"/>
  <c r="O8" i="2"/>
  <c r="O6" i="2"/>
  <c r="O5" i="2"/>
  <c r="O4" i="2"/>
  <c r="O14" i="2"/>
  <c r="O7" i="2"/>
  <c r="O9" i="2"/>
  <c r="O12" i="2"/>
  <c r="O13" i="2"/>
  <c r="O15" i="2"/>
  <c r="O16" i="2"/>
  <c r="O17" i="2"/>
  <c r="O18" i="2"/>
  <c r="H15" i="2"/>
  <c r="H11" i="2"/>
  <c r="H8" i="2"/>
  <c r="H7" i="2"/>
  <c r="H6" i="2"/>
  <c r="L4" i="2" s="1"/>
  <c r="H4" i="2"/>
  <c r="H5" i="2"/>
  <c r="H9" i="2"/>
  <c r="H10" i="2"/>
  <c r="H12" i="2"/>
  <c r="H13" i="2"/>
  <c r="H14" i="2"/>
  <c r="H16" i="2"/>
  <c r="H17" i="2"/>
  <c r="H18" i="2"/>
  <c r="H19" i="2"/>
  <c r="H3" i="2"/>
  <c r="L10" i="2" l="1"/>
  <c r="K14" i="2" s="1"/>
  <c r="K19" i="2" s="1"/>
  <c r="L3" i="2"/>
  <c r="L2" i="2"/>
  <c r="L5" i="2"/>
</calcChain>
</file>

<file path=xl/sharedStrings.xml><?xml version="1.0" encoding="utf-8"?>
<sst xmlns="http://schemas.openxmlformats.org/spreadsheetml/2006/main" count="113" uniqueCount="66">
  <si>
    <t>Actividad</t>
  </si>
  <si>
    <t>Estimacion de Tiempo (Semanas)</t>
  </si>
  <si>
    <t xml:space="preserve">Actividad Predecesora </t>
  </si>
  <si>
    <t>Rutas</t>
  </si>
  <si>
    <t>TE</t>
  </si>
  <si>
    <t>Varianza</t>
  </si>
  <si>
    <t>Optimista (To)</t>
  </si>
  <si>
    <t>Mas Probable (Tm)</t>
  </si>
  <si>
    <t>Pesimista (Tp)</t>
  </si>
  <si>
    <t xml:space="preserve"> Inmediata</t>
  </si>
  <si>
    <t>TE=(To+4Tm+Tp)/6</t>
  </si>
  <si>
    <t>Va=((Tp-To)/6)^2</t>
  </si>
  <si>
    <t>A</t>
  </si>
  <si>
    <t>I</t>
  </si>
  <si>
    <t>B</t>
  </si>
  <si>
    <t>C</t>
  </si>
  <si>
    <t>D</t>
  </si>
  <si>
    <t>E</t>
  </si>
  <si>
    <t>F</t>
  </si>
  <si>
    <t>H</t>
  </si>
  <si>
    <t>G</t>
  </si>
  <si>
    <t>-</t>
  </si>
  <si>
    <t>J</t>
  </si>
  <si>
    <t>Ruta Critica</t>
  </si>
  <si>
    <t>X= 8 Semanas</t>
  </si>
  <si>
    <t>VA</t>
  </si>
  <si>
    <t>Desviacion Estandar</t>
  </si>
  <si>
    <t>DE=Raiz(VA)</t>
  </si>
  <si>
    <t>Probabilidad</t>
  </si>
  <si>
    <t>Z=(X-M)/DE</t>
  </si>
  <si>
    <t>Tiempo de Esperado</t>
  </si>
  <si>
    <t>M - Ruta Crítica</t>
  </si>
  <si>
    <t>K</t>
  </si>
  <si>
    <t>L</t>
  </si>
  <si>
    <t>M</t>
  </si>
  <si>
    <t>N</t>
  </si>
  <si>
    <t>Ñ</t>
  </si>
  <si>
    <t>O</t>
  </si>
  <si>
    <t>P</t>
  </si>
  <si>
    <t>A. Recopilación de la información gestionada</t>
  </si>
  <si>
    <t>B. Definición de requisitos para el sistema</t>
  </si>
  <si>
    <t>C. Selección de gestor de Bases de datos y lenguajes de programación para desarrollar el sistema.</t>
  </si>
  <si>
    <t>D. Construcción de los diagramas y frameworks</t>
  </si>
  <si>
    <t>E. Definición de la estructura del sistema</t>
  </si>
  <si>
    <t>F. Creación del 1er modulo: ingreso de productos al almacén</t>
  </si>
  <si>
    <t>G. Creación del 2do modulo: Seguimiento de stock</t>
  </si>
  <si>
    <t>H. Creación del 3er modulo: Alertas de reposición</t>
  </si>
  <si>
    <t>I. Creación del 4to modulo: Alta de proveedores</t>
  </si>
  <si>
    <t>J. Creación del 5to modulo: Compra de productos</t>
  </si>
  <si>
    <t>K. Creación del 6to modulo: Generación de reportes (cálculo de días de inventario, sobreinventario).</t>
  </si>
  <si>
    <t xml:space="preserve">M. Migración de la información </t>
  </si>
  <si>
    <t>N. Implementación piloto del sistema</t>
  </si>
  <si>
    <t>Ñ. Parcheo y corrección de errores</t>
  </si>
  <si>
    <t>O. Implementación del producto final</t>
  </si>
  <si>
    <t xml:space="preserve">P. Mantenimiento </t>
  </si>
  <si>
    <t>L. Creación de la base de datos</t>
  </si>
  <si>
    <t>B,E</t>
  </si>
  <si>
    <t>L,M</t>
  </si>
  <si>
    <t>A, L, M, N, Ñ, O, P</t>
  </si>
  <si>
    <t>A, L, N, Ñ, O, P</t>
  </si>
  <si>
    <t>E, J</t>
  </si>
  <si>
    <t>E,G</t>
  </si>
  <si>
    <t>E,I</t>
  </si>
  <si>
    <t>A,K</t>
  </si>
  <si>
    <t>A, D, E, K, L, M, N, Ñ, O, P</t>
  </si>
  <si>
    <t>A, D, E, K, L, N, Ñ, O,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</si>
</sst>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3" x14ac:knownFonts="1">
    <font>
      <sz val="11"/>
      <color theme="1"/>
      <name val="Calibri"/>
      <family val="2"/>
      <scheme val="minor"/>
    </font>
    <font>
      <b/>
      <sz val="11"/>
      <color theme="1"/>
      <name val="Calibri"/>
      <family val="2"/>
      <scheme val="minor"/>
    </font>
    <font>
      <sz val="11"/>
      <name val="Calibri"/>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rgb="FF00B0F0"/>
        <bgColor indexed="64"/>
      </patternFill>
    </fill>
    <fill>
      <patternFill patternType="solid">
        <fgColor rgb="FFFF0000"/>
        <bgColor indexed="64"/>
      </patternFill>
    </fill>
    <fill>
      <patternFill patternType="solid">
        <fgColor theme="8" tint="0.59999389629810485"/>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s>
  <cellStyleXfs count="1">
    <xf numFmtId="0" fontId="0" fillId="0" borderId="0"/>
  </cellStyleXfs>
  <cellXfs count="42">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0" xfId="0" applyAlignment="1">
      <alignment vertical="top"/>
    </xf>
    <xf numFmtId="0" fontId="0" fillId="0" borderId="1" xfId="0" applyBorder="1"/>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2" fontId="0" fillId="5" borderId="1" xfId="0" applyNumberFormat="1" applyFill="1" applyBorder="1" applyAlignment="1">
      <alignment horizontal="center" vertical="center"/>
    </xf>
    <xf numFmtId="164" fontId="0" fillId="0" borderId="6" xfId="0" applyNumberFormat="1" applyBorder="1" applyAlignment="1">
      <alignment horizontal="center" vertical="center"/>
    </xf>
    <xf numFmtId="164" fontId="0" fillId="0" borderId="5" xfId="0" applyNumberFormat="1" applyBorder="1" applyAlignment="1">
      <alignment horizontal="center" vertical="center"/>
    </xf>
    <xf numFmtId="2" fontId="0" fillId="0" borderId="1" xfId="0" applyNumberFormat="1" applyBorder="1" applyAlignment="1">
      <alignment horizontal="center" vertical="center"/>
    </xf>
    <xf numFmtId="0" fontId="0" fillId="0" borderId="2" xfId="0" applyBorder="1"/>
    <xf numFmtId="0" fontId="0" fillId="0" borderId="7" xfId="0" applyBorder="1"/>
    <xf numFmtId="0" fontId="0" fillId="0" borderId="7" xfId="0" applyBorder="1" applyAlignment="1">
      <alignment horizontal="center" vertical="center"/>
    </xf>
    <xf numFmtId="2" fontId="0" fillId="0" borderId="2" xfId="0" applyNumberFormat="1" applyBorder="1" applyAlignment="1">
      <alignment horizontal="center" vertical="center"/>
    </xf>
    <xf numFmtId="2" fontId="0" fillId="0" borderId="7" xfId="0" applyNumberFormat="1" applyBorder="1" applyAlignment="1">
      <alignment horizontal="center" vertical="center"/>
    </xf>
    <xf numFmtId="0" fontId="0" fillId="0" borderId="1" xfId="0" applyBorder="1" applyAlignment="1">
      <alignment vertical="top" wrapText="1"/>
    </xf>
    <xf numFmtId="0" fontId="0" fillId="0" borderId="2" xfId="0" applyBorder="1" applyAlignment="1">
      <alignment vertical="top" wrapText="1"/>
    </xf>
    <xf numFmtId="0" fontId="0" fillId="0" borderId="1" xfId="0" applyBorder="1" applyAlignment="1">
      <alignment vertical="center" wrapText="1"/>
    </xf>
    <xf numFmtId="0" fontId="0" fillId="0" borderId="7" xfId="0" applyBorder="1" applyAlignment="1">
      <alignment vertical="center"/>
    </xf>
    <xf numFmtId="0" fontId="0" fillId="0" borderId="0" xfId="0" applyAlignment="1">
      <alignment vertical="center"/>
    </xf>
    <xf numFmtId="0" fontId="1" fillId="0" borderId="0" xfId="0" applyFont="1" applyAlignment="1">
      <alignment vertical="center"/>
    </xf>
    <xf numFmtId="2" fontId="0" fillId="0" borderId="1" xfId="0" applyNumberFormat="1" applyBorder="1" applyAlignment="1">
      <alignment horizontal="center" vertical="center"/>
    </xf>
    <xf numFmtId="0" fontId="0" fillId="0" borderId="8" xfId="0" applyFill="1" applyBorder="1" applyAlignment="1">
      <alignment horizontal="center" vertical="center"/>
    </xf>
    <xf numFmtId="0" fontId="0" fillId="0" borderId="1" xfId="0" applyFill="1" applyBorder="1" applyAlignment="1">
      <alignment horizontal="center" vertical="center"/>
    </xf>
    <xf numFmtId="2" fontId="0" fillId="0" borderId="1" xfId="0" applyNumberFormat="1" applyFill="1" applyBorder="1" applyAlignment="1">
      <alignment horizontal="center" vertical="center"/>
    </xf>
    <xf numFmtId="0" fontId="0" fillId="0" borderId="0" xfId="0" applyBorder="1"/>
    <xf numFmtId="0" fontId="0" fillId="0" borderId="0" xfId="0" applyBorder="1" applyAlignment="1">
      <alignment horizontal="center" vertical="center"/>
    </xf>
    <xf numFmtId="2" fontId="0" fillId="0" borderId="0" xfId="0" applyNumberFormat="1" applyBorder="1" applyAlignment="1">
      <alignment horizontal="center" vertical="center"/>
    </xf>
    <xf numFmtId="165" fontId="0" fillId="0" borderId="5" xfId="0" applyNumberFormat="1" applyBorder="1" applyAlignment="1">
      <alignment horizontal="center" vertical="center"/>
    </xf>
    <xf numFmtId="10" fontId="0" fillId="6" borderId="1" xfId="0" applyNumberFormat="1" applyFill="1" applyBorder="1" applyAlignment="1">
      <alignment horizontal="center" vertical="center"/>
    </xf>
    <xf numFmtId="2" fontId="0" fillId="0" borderId="1" xfId="0" applyNumberFormat="1" applyBorder="1" applyAlignment="1">
      <alignment horizontal="center" vertical="center"/>
    </xf>
    <xf numFmtId="0" fontId="0" fillId="6" borderId="1"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2" borderId="1" xfId="0" applyFill="1" applyBorder="1" applyAlignment="1">
      <alignment horizontal="center" vertical="center"/>
    </xf>
    <xf numFmtId="0" fontId="0" fillId="4" borderId="1" xfId="0" applyFill="1" applyBorder="1" applyAlignment="1">
      <alignment horizontal="center"/>
    </xf>
    <xf numFmtId="0" fontId="2" fillId="7" borderId="1" xfId="0" applyFont="1" applyFill="1" applyBorder="1" applyAlignment="1">
      <alignment horizontal="center" vertical="center"/>
    </xf>
    <xf numFmtId="2" fontId="2" fillId="7" borderId="1" xfId="0" applyNumberFormat="1" applyFont="1" applyFill="1" applyBorder="1" applyAlignment="1">
      <alignment horizontal="center" vertical="center"/>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71438</xdr:colOff>
      <xdr:row>26</xdr:row>
      <xdr:rowOff>71438</xdr:rowOff>
    </xdr:from>
    <xdr:to>
      <xdr:col>0</xdr:col>
      <xdr:colOff>928688</xdr:colOff>
      <xdr:row>28</xdr:row>
      <xdr:rowOff>178594</xdr:rowOff>
    </xdr:to>
    <xdr:sp macro="" textlink="">
      <xdr:nvSpPr>
        <xdr:cNvPr id="3" name="Elipse 2">
          <a:extLst>
            <a:ext uri="{FF2B5EF4-FFF2-40B4-BE49-F238E27FC236}">
              <a16:creationId xmlns:a16="http://schemas.microsoft.com/office/drawing/2014/main" id="{00000000-0008-0000-0000-000003000000}"/>
            </a:ext>
          </a:extLst>
        </xdr:cNvPr>
        <xdr:cNvSpPr/>
      </xdr:nvSpPr>
      <xdr:spPr>
        <a:xfrm>
          <a:off x="71438" y="5083969"/>
          <a:ext cx="857250" cy="488156"/>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INICIO</a:t>
          </a:r>
        </a:p>
      </xdr:txBody>
    </xdr:sp>
    <xdr:clientData/>
  </xdr:twoCellAnchor>
  <xdr:twoCellAnchor>
    <xdr:from>
      <xdr:col>0</xdr:col>
      <xdr:colOff>0</xdr:colOff>
      <xdr:row>42</xdr:row>
      <xdr:rowOff>47625</xdr:rowOff>
    </xdr:from>
    <xdr:to>
      <xdr:col>14</xdr:col>
      <xdr:colOff>806223</xdr:colOff>
      <xdr:row>48</xdr:row>
      <xdr:rowOff>111125</xdr:rowOff>
    </xdr:to>
    <xdr:sp macro="" textlink="">
      <xdr:nvSpPr>
        <xdr:cNvPr id="261" name="Rectángulo 260">
          <a:extLst>
            <a:ext uri="{FF2B5EF4-FFF2-40B4-BE49-F238E27FC236}">
              <a16:creationId xmlns:a16="http://schemas.microsoft.com/office/drawing/2014/main" id="{00000000-0008-0000-0000-000005010000}"/>
            </a:ext>
          </a:extLst>
        </xdr:cNvPr>
        <xdr:cNvSpPr/>
      </xdr:nvSpPr>
      <xdr:spPr>
        <a:xfrm>
          <a:off x="0" y="8215313"/>
          <a:ext cx="18784661" cy="12065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400" b="1">
              <a:solidFill>
                <a:schemeClr val="tx1"/>
              </a:solidFill>
            </a:rPr>
            <a:t>Conclusion:</a:t>
          </a:r>
          <a:r>
            <a:rPr lang="es-MX" sz="1400" b="1" baseline="0">
              <a:solidFill>
                <a:schemeClr val="tx1"/>
              </a:solidFill>
            </a:rPr>
            <a:t> Con esta actividad logré aprender a calcular tanto el tiempo requerido para desarrollar un sistema como la probabilidad de que se logre cumplir el proyecto en el tiempo estimado. El resultado de la estimación del escenario presentado para la actividad es de un 97.32% de éxito y si bien existe una probabilidad sumamente alta de cumplir con el objetivo, también debemos recordar que este éxito irá ligado a un conjunto de buenas practicas al momento de realizar cada una de las actividades para llegar al resultado final. Yo en lo personal sí recomendaría este metodo para la estimación de tiempos de un proyecto, ya que nos permite obtener un resultado consistente tomando en cuenta los diferentes escenarios que pueden presentarse a medida que avanzamos con el proyecto.</a:t>
          </a:r>
          <a:endParaRPr lang="es-MX" sz="1400" b="1">
            <a:solidFill>
              <a:schemeClr val="tx1"/>
            </a:solidFill>
          </a:endParaRPr>
        </a:p>
      </xdr:txBody>
    </xdr:sp>
    <xdr:clientData/>
  </xdr:twoCellAnchor>
  <xdr:twoCellAnchor>
    <xdr:from>
      <xdr:col>0</xdr:col>
      <xdr:colOff>837407</xdr:colOff>
      <xdr:row>21</xdr:row>
      <xdr:rowOff>67469</xdr:rowOff>
    </xdr:from>
    <xdr:to>
      <xdr:col>0</xdr:col>
      <xdr:colOff>1754188</xdr:colOff>
      <xdr:row>23</xdr:row>
      <xdr:rowOff>186531</xdr:rowOff>
    </xdr:to>
    <xdr:sp macro="" textlink="">
      <xdr:nvSpPr>
        <xdr:cNvPr id="44" name="Elipse 43">
          <a:extLst>
            <a:ext uri="{FF2B5EF4-FFF2-40B4-BE49-F238E27FC236}">
              <a16:creationId xmlns:a16="http://schemas.microsoft.com/office/drawing/2014/main" id="{00000000-0008-0000-0000-00002C000000}"/>
            </a:ext>
          </a:extLst>
        </xdr:cNvPr>
        <xdr:cNvSpPr/>
      </xdr:nvSpPr>
      <xdr:spPr>
        <a:xfrm>
          <a:off x="837407" y="4127500"/>
          <a:ext cx="916781" cy="500062"/>
        </a:xfrm>
        <a:prstGeom prst="ellipse">
          <a:avLst/>
        </a:prstGeom>
        <a:solidFill>
          <a:schemeClr val="accent5">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A</a:t>
          </a:r>
        </a:p>
      </xdr:txBody>
    </xdr:sp>
    <xdr:clientData/>
  </xdr:twoCellAnchor>
  <xdr:twoCellAnchor>
    <xdr:from>
      <xdr:col>0</xdr:col>
      <xdr:colOff>1754187</xdr:colOff>
      <xdr:row>25</xdr:row>
      <xdr:rowOff>130970</xdr:rowOff>
    </xdr:from>
    <xdr:to>
      <xdr:col>0</xdr:col>
      <xdr:colOff>2670968</xdr:colOff>
      <xdr:row>28</xdr:row>
      <xdr:rowOff>59532</xdr:rowOff>
    </xdr:to>
    <xdr:sp macro="" textlink="">
      <xdr:nvSpPr>
        <xdr:cNvPr id="46" name="Elipse 45">
          <a:extLst>
            <a:ext uri="{FF2B5EF4-FFF2-40B4-BE49-F238E27FC236}">
              <a16:creationId xmlns:a16="http://schemas.microsoft.com/office/drawing/2014/main" id="{00000000-0008-0000-0000-00002E000000}"/>
            </a:ext>
          </a:extLst>
        </xdr:cNvPr>
        <xdr:cNvSpPr/>
      </xdr:nvSpPr>
      <xdr:spPr>
        <a:xfrm>
          <a:off x="1754187" y="5072064"/>
          <a:ext cx="916781"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B</a:t>
          </a:r>
        </a:p>
      </xdr:txBody>
    </xdr:sp>
    <xdr:clientData/>
  </xdr:twoCellAnchor>
  <xdr:twoCellAnchor>
    <xdr:from>
      <xdr:col>0</xdr:col>
      <xdr:colOff>803147</xdr:colOff>
      <xdr:row>23</xdr:row>
      <xdr:rowOff>113299</xdr:rowOff>
    </xdr:from>
    <xdr:to>
      <xdr:col>0</xdr:col>
      <xdr:colOff>971666</xdr:colOff>
      <xdr:row>26</xdr:row>
      <xdr:rowOff>142927</xdr:rowOff>
    </xdr:to>
    <xdr:cxnSp macro="">
      <xdr:nvCxnSpPr>
        <xdr:cNvPr id="48" name="Conector recto de flecha 47">
          <a:extLst>
            <a:ext uri="{FF2B5EF4-FFF2-40B4-BE49-F238E27FC236}">
              <a16:creationId xmlns:a16="http://schemas.microsoft.com/office/drawing/2014/main" id="{00000000-0008-0000-0000-000030000000}"/>
            </a:ext>
          </a:extLst>
        </xdr:cNvPr>
        <xdr:cNvCxnSpPr>
          <a:stCxn id="3" idx="7"/>
          <a:endCxn id="44" idx="3"/>
        </xdr:cNvCxnSpPr>
      </xdr:nvCxnSpPr>
      <xdr:spPr>
        <a:xfrm flipV="1">
          <a:off x="803147" y="4554330"/>
          <a:ext cx="168519" cy="60112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2984500</xdr:colOff>
      <xdr:row>26</xdr:row>
      <xdr:rowOff>158749</xdr:rowOff>
    </xdr:from>
    <xdr:to>
      <xdr:col>1</xdr:col>
      <xdr:colOff>742155</xdr:colOff>
      <xdr:row>29</xdr:row>
      <xdr:rowOff>87311</xdr:rowOff>
    </xdr:to>
    <xdr:sp macro="" textlink="">
      <xdr:nvSpPr>
        <xdr:cNvPr id="52" name="Elipse 51">
          <a:extLst>
            <a:ext uri="{FF2B5EF4-FFF2-40B4-BE49-F238E27FC236}">
              <a16:creationId xmlns:a16="http://schemas.microsoft.com/office/drawing/2014/main" id="{00000000-0008-0000-0000-000034000000}"/>
            </a:ext>
          </a:extLst>
        </xdr:cNvPr>
        <xdr:cNvSpPr/>
      </xdr:nvSpPr>
      <xdr:spPr>
        <a:xfrm>
          <a:off x="2984500" y="5290343"/>
          <a:ext cx="924718"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C</a:t>
          </a:r>
        </a:p>
      </xdr:txBody>
    </xdr:sp>
    <xdr:clientData/>
  </xdr:twoCellAnchor>
  <xdr:twoCellAnchor>
    <xdr:from>
      <xdr:col>3</xdr:col>
      <xdr:colOff>150813</xdr:colOff>
      <xdr:row>19</xdr:row>
      <xdr:rowOff>27779</xdr:rowOff>
    </xdr:from>
    <xdr:to>
      <xdr:col>3</xdr:col>
      <xdr:colOff>1075531</xdr:colOff>
      <xdr:row>21</xdr:row>
      <xdr:rowOff>146841</xdr:rowOff>
    </xdr:to>
    <xdr:sp macro="" textlink="">
      <xdr:nvSpPr>
        <xdr:cNvPr id="54" name="Elipse 53">
          <a:extLst>
            <a:ext uri="{FF2B5EF4-FFF2-40B4-BE49-F238E27FC236}">
              <a16:creationId xmlns:a16="http://schemas.microsoft.com/office/drawing/2014/main" id="{00000000-0008-0000-0000-000036000000}"/>
            </a:ext>
          </a:extLst>
        </xdr:cNvPr>
        <xdr:cNvSpPr/>
      </xdr:nvSpPr>
      <xdr:spPr>
        <a:xfrm>
          <a:off x="5722938" y="3813967"/>
          <a:ext cx="924718"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I</a:t>
          </a:r>
        </a:p>
      </xdr:txBody>
    </xdr:sp>
    <xdr:clientData/>
  </xdr:twoCellAnchor>
  <xdr:twoCellAnchor>
    <xdr:from>
      <xdr:col>1</xdr:col>
      <xdr:colOff>674688</xdr:colOff>
      <xdr:row>21</xdr:row>
      <xdr:rowOff>3968</xdr:rowOff>
    </xdr:from>
    <xdr:to>
      <xdr:col>2</xdr:col>
      <xdr:colOff>424657</xdr:colOff>
      <xdr:row>23</xdr:row>
      <xdr:rowOff>123030</xdr:rowOff>
    </xdr:to>
    <xdr:sp macro="" textlink="">
      <xdr:nvSpPr>
        <xdr:cNvPr id="59" name="Elipse 58">
          <a:extLst>
            <a:ext uri="{FF2B5EF4-FFF2-40B4-BE49-F238E27FC236}">
              <a16:creationId xmlns:a16="http://schemas.microsoft.com/office/drawing/2014/main" id="{00000000-0008-0000-0000-00003B000000}"/>
            </a:ext>
          </a:extLst>
        </xdr:cNvPr>
        <xdr:cNvSpPr/>
      </xdr:nvSpPr>
      <xdr:spPr>
        <a:xfrm>
          <a:off x="3841751" y="4183062"/>
          <a:ext cx="916781" cy="500062"/>
        </a:xfrm>
        <a:prstGeom prst="ellipse">
          <a:avLst/>
        </a:prstGeom>
        <a:solidFill>
          <a:schemeClr val="accent5">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E</a:t>
          </a:r>
        </a:p>
      </xdr:txBody>
    </xdr:sp>
    <xdr:clientData/>
  </xdr:twoCellAnchor>
  <xdr:twoCellAnchor>
    <xdr:from>
      <xdr:col>0</xdr:col>
      <xdr:colOff>2341563</xdr:colOff>
      <xdr:row>20</xdr:row>
      <xdr:rowOff>186532</xdr:rowOff>
    </xdr:from>
    <xdr:to>
      <xdr:col>1</xdr:col>
      <xdr:colOff>91281</xdr:colOff>
      <xdr:row>23</xdr:row>
      <xdr:rowOff>115094</xdr:rowOff>
    </xdr:to>
    <xdr:sp macro="" textlink="">
      <xdr:nvSpPr>
        <xdr:cNvPr id="72" name="Elipse 71">
          <a:extLst>
            <a:ext uri="{FF2B5EF4-FFF2-40B4-BE49-F238E27FC236}">
              <a16:creationId xmlns:a16="http://schemas.microsoft.com/office/drawing/2014/main" id="{00000000-0008-0000-0000-000048000000}"/>
            </a:ext>
          </a:extLst>
        </xdr:cNvPr>
        <xdr:cNvSpPr/>
      </xdr:nvSpPr>
      <xdr:spPr>
        <a:xfrm>
          <a:off x="2341563" y="4175126"/>
          <a:ext cx="916781" cy="500062"/>
        </a:xfrm>
        <a:prstGeom prst="ellipse">
          <a:avLst/>
        </a:prstGeom>
        <a:solidFill>
          <a:schemeClr val="accent5">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D</a:t>
          </a:r>
        </a:p>
      </xdr:txBody>
    </xdr:sp>
    <xdr:clientData/>
  </xdr:twoCellAnchor>
  <xdr:twoCellAnchor>
    <xdr:from>
      <xdr:col>4</xdr:col>
      <xdr:colOff>222251</xdr:colOff>
      <xdr:row>21</xdr:row>
      <xdr:rowOff>170658</xdr:rowOff>
    </xdr:from>
    <xdr:to>
      <xdr:col>4</xdr:col>
      <xdr:colOff>1143001</xdr:colOff>
      <xdr:row>24</xdr:row>
      <xdr:rowOff>99220</xdr:rowOff>
    </xdr:to>
    <xdr:sp macro="" textlink="">
      <xdr:nvSpPr>
        <xdr:cNvPr id="80" name="Elipse 79">
          <a:extLst>
            <a:ext uri="{FF2B5EF4-FFF2-40B4-BE49-F238E27FC236}">
              <a16:creationId xmlns:a16="http://schemas.microsoft.com/office/drawing/2014/main" id="{00000000-0008-0000-0000-000050000000}"/>
            </a:ext>
          </a:extLst>
        </xdr:cNvPr>
        <xdr:cNvSpPr/>
      </xdr:nvSpPr>
      <xdr:spPr>
        <a:xfrm>
          <a:off x="6937376" y="4325939"/>
          <a:ext cx="920750"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F</a:t>
          </a:r>
        </a:p>
      </xdr:txBody>
    </xdr:sp>
    <xdr:clientData/>
  </xdr:twoCellAnchor>
  <xdr:twoCellAnchor>
    <xdr:from>
      <xdr:col>3</xdr:col>
      <xdr:colOff>182562</xdr:colOff>
      <xdr:row>27</xdr:row>
      <xdr:rowOff>138905</xdr:rowOff>
    </xdr:from>
    <xdr:to>
      <xdr:col>3</xdr:col>
      <xdr:colOff>1099343</xdr:colOff>
      <xdr:row>30</xdr:row>
      <xdr:rowOff>67467</xdr:rowOff>
    </xdr:to>
    <xdr:sp macro="" textlink="">
      <xdr:nvSpPr>
        <xdr:cNvPr id="81" name="Elipse 80">
          <a:extLst>
            <a:ext uri="{FF2B5EF4-FFF2-40B4-BE49-F238E27FC236}">
              <a16:creationId xmlns:a16="http://schemas.microsoft.com/office/drawing/2014/main" id="{00000000-0008-0000-0000-000051000000}"/>
            </a:ext>
          </a:extLst>
        </xdr:cNvPr>
        <xdr:cNvSpPr/>
      </xdr:nvSpPr>
      <xdr:spPr>
        <a:xfrm>
          <a:off x="5754687" y="5437186"/>
          <a:ext cx="916781"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G</a:t>
          </a:r>
        </a:p>
      </xdr:txBody>
    </xdr:sp>
    <xdr:clientData/>
  </xdr:twoCellAnchor>
  <xdr:twoCellAnchor>
    <xdr:from>
      <xdr:col>4</xdr:col>
      <xdr:colOff>313533</xdr:colOff>
      <xdr:row>25</xdr:row>
      <xdr:rowOff>55562</xdr:rowOff>
    </xdr:from>
    <xdr:to>
      <xdr:col>4</xdr:col>
      <xdr:colOff>1230314</xdr:colOff>
      <xdr:row>27</xdr:row>
      <xdr:rowOff>174624</xdr:rowOff>
    </xdr:to>
    <xdr:sp macro="" textlink="">
      <xdr:nvSpPr>
        <xdr:cNvPr id="82" name="Elipse 81">
          <a:extLst>
            <a:ext uri="{FF2B5EF4-FFF2-40B4-BE49-F238E27FC236}">
              <a16:creationId xmlns:a16="http://schemas.microsoft.com/office/drawing/2014/main" id="{00000000-0008-0000-0000-000052000000}"/>
            </a:ext>
          </a:extLst>
        </xdr:cNvPr>
        <xdr:cNvSpPr/>
      </xdr:nvSpPr>
      <xdr:spPr>
        <a:xfrm>
          <a:off x="7028658" y="4972843"/>
          <a:ext cx="916781"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H</a:t>
          </a:r>
        </a:p>
      </xdr:txBody>
    </xdr:sp>
    <xdr:clientData/>
  </xdr:twoCellAnchor>
  <xdr:twoCellAnchor>
    <xdr:from>
      <xdr:col>1</xdr:col>
      <xdr:colOff>1051717</xdr:colOff>
      <xdr:row>27</xdr:row>
      <xdr:rowOff>134938</xdr:rowOff>
    </xdr:from>
    <xdr:to>
      <xdr:col>2</xdr:col>
      <xdr:colOff>801686</xdr:colOff>
      <xdr:row>30</xdr:row>
      <xdr:rowOff>63500</xdr:rowOff>
    </xdr:to>
    <xdr:sp macro="" textlink="">
      <xdr:nvSpPr>
        <xdr:cNvPr id="83" name="Elipse 82">
          <a:extLst>
            <a:ext uri="{FF2B5EF4-FFF2-40B4-BE49-F238E27FC236}">
              <a16:creationId xmlns:a16="http://schemas.microsoft.com/office/drawing/2014/main" id="{00000000-0008-0000-0000-000053000000}"/>
            </a:ext>
          </a:extLst>
        </xdr:cNvPr>
        <xdr:cNvSpPr/>
      </xdr:nvSpPr>
      <xdr:spPr>
        <a:xfrm>
          <a:off x="4218780" y="5433219"/>
          <a:ext cx="916781"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J</a:t>
          </a:r>
        </a:p>
      </xdr:txBody>
    </xdr:sp>
    <xdr:clientData/>
  </xdr:twoCellAnchor>
  <xdr:twoCellAnchor>
    <xdr:from>
      <xdr:col>8</xdr:col>
      <xdr:colOff>845344</xdr:colOff>
      <xdr:row>19</xdr:row>
      <xdr:rowOff>186532</xdr:rowOff>
    </xdr:from>
    <xdr:to>
      <xdr:col>9</xdr:col>
      <xdr:colOff>138906</xdr:colOff>
      <xdr:row>22</xdr:row>
      <xdr:rowOff>115094</xdr:rowOff>
    </xdr:to>
    <xdr:sp macro="" textlink="">
      <xdr:nvSpPr>
        <xdr:cNvPr id="84" name="Elipse 83">
          <a:extLst>
            <a:ext uri="{FF2B5EF4-FFF2-40B4-BE49-F238E27FC236}">
              <a16:creationId xmlns:a16="http://schemas.microsoft.com/office/drawing/2014/main" id="{00000000-0008-0000-0000-000054000000}"/>
            </a:ext>
          </a:extLst>
        </xdr:cNvPr>
        <xdr:cNvSpPr/>
      </xdr:nvSpPr>
      <xdr:spPr>
        <a:xfrm>
          <a:off x="12227719" y="3984626"/>
          <a:ext cx="912812" cy="500062"/>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FIN</a:t>
          </a:r>
        </a:p>
      </xdr:txBody>
    </xdr:sp>
    <xdr:clientData/>
  </xdr:twoCellAnchor>
  <xdr:twoCellAnchor>
    <xdr:from>
      <xdr:col>1</xdr:col>
      <xdr:colOff>287336</xdr:colOff>
      <xdr:row>30</xdr:row>
      <xdr:rowOff>61119</xdr:rowOff>
    </xdr:from>
    <xdr:to>
      <xdr:col>2</xdr:col>
      <xdr:colOff>37305</xdr:colOff>
      <xdr:row>32</xdr:row>
      <xdr:rowOff>180181</xdr:rowOff>
    </xdr:to>
    <xdr:sp macro="" textlink="">
      <xdr:nvSpPr>
        <xdr:cNvPr id="61" name="Elipse 60">
          <a:extLst>
            <a:ext uri="{FF2B5EF4-FFF2-40B4-BE49-F238E27FC236}">
              <a16:creationId xmlns:a16="http://schemas.microsoft.com/office/drawing/2014/main" id="{BEE0D888-574C-4D91-9C06-583FD542B90C}"/>
            </a:ext>
          </a:extLst>
        </xdr:cNvPr>
        <xdr:cNvSpPr/>
      </xdr:nvSpPr>
      <xdr:spPr>
        <a:xfrm>
          <a:off x="3454399" y="5930900"/>
          <a:ext cx="916781" cy="500062"/>
        </a:xfrm>
        <a:prstGeom prst="ellipse">
          <a:avLst/>
        </a:prstGeom>
        <a:solidFill>
          <a:schemeClr val="accent5">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K</a:t>
          </a:r>
        </a:p>
      </xdr:txBody>
    </xdr:sp>
    <xdr:clientData/>
  </xdr:twoCellAnchor>
  <xdr:twoCellAnchor>
    <xdr:from>
      <xdr:col>2</xdr:col>
      <xdr:colOff>726280</xdr:colOff>
      <xdr:row>33</xdr:row>
      <xdr:rowOff>59531</xdr:rowOff>
    </xdr:from>
    <xdr:to>
      <xdr:col>3</xdr:col>
      <xdr:colOff>404811</xdr:colOff>
      <xdr:row>35</xdr:row>
      <xdr:rowOff>178593</xdr:rowOff>
    </xdr:to>
    <xdr:sp macro="" textlink="">
      <xdr:nvSpPr>
        <xdr:cNvPr id="62" name="Elipse 61">
          <a:extLst>
            <a:ext uri="{FF2B5EF4-FFF2-40B4-BE49-F238E27FC236}">
              <a16:creationId xmlns:a16="http://schemas.microsoft.com/office/drawing/2014/main" id="{507F8BA5-E8B0-4260-884F-1AAE1115F655}"/>
            </a:ext>
          </a:extLst>
        </xdr:cNvPr>
        <xdr:cNvSpPr/>
      </xdr:nvSpPr>
      <xdr:spPr>
        <a:xfrm>
          <a:off x="5060155" y="6512719"/>
          <a:ext cx="916781" cy="500062"/>
        </a:xfrm>
        <a:prstGeom prst="ellipse">
          <a:avLst/>
        </a:prstGeom>
        <a:solidFill>
          <a:schemeClr val="accent5">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M</a:t>
          </a:r>
        </a:p>
      </xdr:txBody>
    </xdr:sp>
    <xdr:clientData/>
  </xdr:twoCellAnchor>
  <xdr:twoCellAnchor>
    <xdr:from>
      <xdr:col>4</xdr:col>
      <xdr:colOff>95248</xdr:colOff>
      <xdr:row>36</xdr:row>
      <xdr:rowOff>107157</xdr:rowOff>
    </xdr:from>
    <xdr:to>
      <xdr:col>4</xdr:col>
      <xdr:colOff>1012029</xdr:colOff>
      <xdr:row>39</xdr:row>
      <xdr:rowOff>35719</xdr:rowOff>
    </xdr:to>
    <xdr:sp macro="" textlink="">
      <xdr:nvSpPr>
        <xdr:cNvPr id="63" name="Elipse 62">
          <a:extLst>
            <a:ext uri="{FF2B5EF4-FFF2-40B4-BE49-F238E27FC236}">
              <a16:creationId xmlns:a16="http://schemas.microsoft.com/office/drawing/2014/main" id="{B8C3088F-A5F6-463E-8181-1FAC978CAF6A}"/>
            </a:ext>
          </a:extLst>
        </xdr:cNvPr>
        <xdr:cNvSpPr/>
      </xdr:nvSpPr>
      <xdr:spPr>
        <a:xfrm>
          <a:off x="6810373" y="7131845"/>
          <a:ext cx="916781" cy="500062"/>
        </a:xfrm>
        <a:prstGeom prst="ellipse">
          <a:avLst/>
        </a:prstGeom>
        <a:solidFill>
          <a:schemeClr val="accent5">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N</a:t>
          </a:r>
        </a:p>
      </xdr:txBody>
    </xdr:sp>
    <xdr:clientData/>
  </xdr:twoCellAnchor>
  <xdr:twoCellAnchor>
    <xdr:from>
      <xdr:col>5</xdr:col>
      <xdr:colOff>309561</xdr:colOff>
      <xdr:row>33</xdr:row>
      <xdr:rowOff>71438</xdr:rowOff>
    </xdr:from>
    <xdr:to>
      <xdr:col>6</xdr:col>
      <xdr:colOff>464342</xdr:colOff>
      <xdr:row>36</xdr:row>
      <xdr:rowOff>0</xdr:rowOff>
    </xdr:to>
    <xdr:sp macro="" textlink="">
      <xdr:nvSpPr>
        <xdr:cNvPr id="64" name="Elipse 63">
          <a:extLst>
            <a:ext uri="{FF2B5EF4-FFF2-40B4-BE49-F238E27FC236}">
              <a16:creationId xmlns:a16="http://schemas.microsoft.com/office/drawing/2014/main" id="{CABA76CC-BD32-4B43-9FE3-CC678B4C52E5}"/>
            </a:ext>
          </a:extLst>
        </xdr:cNvPr>
        <xdr:cNvSpPr/>
      </xdr:nvSpPr>
      <xdr:spPr>
        <a:xfrm>
          <a:off x="8679655" y="6524626"/>
          <a:ext cx="916781" cy="500062"/>
        </a:xfrm>
        <a:prstGeom prst="ellipse">
          <a:avLst/>
        </a:prstGeom>
        <a:solidFill>
          <a:schemeClr val="accent5">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Ñ</a:t>
          </a:r>
        </a:p>
      </xdr:txBody>
    </xdr:sp>
    <xdr:clientData/>
  </xdr:twoCellAnchor>
  <xdr:twoCellAnchor>
    <xdr:from>
      <xdr:col>7</xdr:col>
      <xdr:colOff>1035844</xdr:colOff>
      <xdr:row>30</xdr:row>
      <xdr:rowOff>59531</xdr:rowOff>
    </xdr:from>
    <xdr:to>
      <xdr:col>8</xdr:col>
      <xdr:colOff>464344</xdr:colOff>
      <xdr:row>32</xdr:row>
      <xdr:rowOff>178593</xdr:rowOff>
    </xdr:to>
    <xdr:sp macro="" textlink="">
      <xdr:nvSpPr>
        <xdr:cNvPr id="67" name="Elipse 66">
          <a:extLst>
            <a:ext uri="{FF2B5EF4-FFF2-40B4-BE49-F238E27FC236}">
              <a16:creationId xmlns:a16="http://schemas.microsoft.com/office/drawing/2014/main" id="{289F3A15-DD7D-444C-9A14-BC88E5637658}"/>
            </a:ext>
          </a:extLst>
        </xdr:cNvPr>
        <xdr:cNvSpPr/>
      </xdr:nvSpPr>
      <xdr:spPr>
        <a:xfrm>
          <a:off x="10929938" y="5953125"/>
          <a:ext cx="916781" cy="500062"/>
        </a:xfrm>
        <a:prstGeom prst="ellipse">
          <a:avLst/>
        </a:prstGeom>
        <a:solidFill>
          <a:schemeClr val="accent5">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O</a:t>
          </a:r>
        </a:p>
      </xdr:txBody>
    </xdr:sp>
    <xdr:clientData/>
  </xdr:twoCellAnchor>
  <xdr:twoCellAnchor>
    <xdr:from>
      <xdr:col>8</xdr:col>
      <xdr:colOff>473869</xdr:colOff>
      <xdr:row>23</xdr:row>
      <xdr:rowOff>152399</xdr:rowOff>
    </xdr:from>
    <xdr:to>
      <xdr:col>8</xdr:col>
      <xdr:colOff>1390650</xdr:colOff>
      <xdr:row>26</xdr:row>
      <xdr:rowOff>80961</xdr:rowOff>
    </xdr:to>
    <xdr:sp macro="" textlink="">
      <xdr:nvSpPr>
        <xdr:cNvPr id="69" name="Elipse 68">
          <a:extLst>
            <a:ext uri="{FF2B5EF4-FFF2-40B4-BE49-F238E27FC236}">
              <a16:creationId xmlns:a16="http://schemas.microsoft.com/office/drawing/2014/main" id="{457B7837-627A-4A90-AA53-8CA726CC40E8}"/>
            </a:ext>
          </a:extLst>
        </xdr:cNvPr>
        <xdr:cNvSpPr/>
      </xdr:nvSpPr>
      <xdr:spPr>
        <a:xfrm>
          <a:off x="11856244" y="4712493"/>
          <a:ext cx="916781" cy="500062"/>
        </a:xfrm>
        <a:prstGeom prst="ellipse">
          <a:avLst/>
        </a:prstGeom>
        <a:solidFill>
          <a:schemeClr val="accent5">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P</a:t>
          </a:r>
        </a:p>
      </xdr:txBody>
    </xdr:sp>
    <xdr:clientData/>
  </xdr:twoCellAnchor>
  <xdr:twoCellAnchor>
    <xdr:from>
      <xdr:col>8</xdr:col>
      <xdr:colOff>932260</xdr:colOff>
      <xdr:row>22</xdr:row>
      <xdr:rowOff>115094</xdr:rowOff>
    </xdr:from>
    <xdr:to>
      <xdr:col>8</xdr:col>
      <xdr:colOff>1301750</xdr:colOff>
      <xdr:row>23</xdr:row>
      <xdr:rowOff>152399</xdr:rowOff>
    </xdr:to>
    <xdr:cxnSp macro="">
      <xdr:nvCxnSpPr>
        <xdr:cNvPr id="116" name="Conector recto de flecha 115">
          <a:extLst>
            <a:ext uri="{FF2B5EF4-FFF2-40B4-BE49-F238E27FC236}">
              <a16:creationId xmlns:a16="http://schemas.microsoft.com/office/drawing/2014/main" id="{AB7E055C-A758-42BC-8479-9AA0F84B4513}"/>
            </a:ext>
          </a:extLst>
        </xdr:cNvPr>
        <xdr:cNvCxnSpPr>
          <a:stCxn id="69" idx="0"/>
          <a:endCxn id="84" idx="4"/>
        </xdr:cNvCxnSpPr>
      </xdr:nvCxnSpPr>
      <xdr:spPr>
        <a:xfrm flipV="1">
          <a:off x="12314635" y="4484688"/>
          <a:ext cx="369490" cy="22780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1754188</xdr:colOff>
      <xdr:row>22</xdr:row>
      <xdr:rowOff>55563</xdr:rowOff>
    </xdr:from>
    <xdr:to>
      <xdr:col>0</xdr:col>
      <xdr:colOff>2341563</xdr:colOff>
      <xdr:row>22</xdr:row>
      <xdr:rowOff>127000</xdr:rowOff>
    </xdr:to>
    <xdr:cxnSp macro="">
      <xdr:nvCxnSpPr>
        <xdr:cNvPr id="124" name="Conector recto de flecha 123">
          <a:extLst>
            <a:ext uri="{FF2B5EF4-FFF2-40B4-BE49-F238E27FC236}">
              <a16:creationId xmlns:a16="http://schemas.microsoft.com/office/drawing/2014/main" id="{96160F05-9FD5-419A-A088-D3F5D6851FB1}"/>
            </a:ext>
          </a:extLst>
        </xdr:cNvPr>
        <xdr:cNvCxnSpPr>
          <a:stCxn id="44" idx="6"/>
          <a:endCxn id="72" idx="2"/>
        </xdr:cNvCxnSpPr>
      </xdr:nvCxnSpPr>
      <xdr:spPr>
        <a:xfrm flipV="1">
          <a:off x="1754188" y="4425157"/>
          <a:ext cx="587375" cy="7143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2670968</xdr:colOff>
      <xdr:row>27</xdr:row>
      <xdr:rowOff>1</xdr:rowOff>
    </xdr:from>
    <xdr:to>
      <xdr:col>0</xdr:col>
      <xdr:colOff>2984500</xdr:colOff>
      <xdr:row>28</xdr:row>
      <xdr:rowOff>27780</xdr:rowOff>
    </xdr:to>
    <xdr:cxnSp macro="">
      <xdr:nvCxnSpPr>
        <xdr:cNvPr id="127" name="Conector recto de flecha 126">
          <a:extLst>
            <a:ext uri="{FF2B5EF4-FFF2-40B4-BE49-F238E27FC236}">
              <a16:creationId xmlns:a16="http://schemas.microsoft.com/office/drawing/2014/main" id="{4EA8DA29-206B-4187-A527-66A252CC3097}"/>
            </a:ext>
          </a:extLst>
        </xdr:cNvPr>
        <xdr:cNvCxnSpPr>
          <a:stCxn id="46" idx="6"/>
          <a:endCxn id="52" idx="2"/>
        </xdr:cNvCxnSpPr>
      </xdr:nvCxnSpPr>
      <xdr:spPr>
        <a:xfrm>
          <a:off x="2670968" y="5322095"/>
          <a:ext cx="313532" cy="21827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279796</xdr:colOff>
      <xdr:row>23</xdr:row>
      <xdr:rowOff>49798</xdr:rowOff>
    </xdr:from>
    <xdr:to>
      <xdr:col>1</xdr:col>
      <xdr:colOff>808947</xdr:colOff>
      <xdr:row>26</xdr:row>
      <xdr:rowOff>158749</xdr:rowOff>
    </xdr:to>
    <xdr:cxnSp macro="">
      <xdr:nvCxnSpPr>
        <xdr:cNvPr id="130" name="Conector recto de flecha 129">
          <a:extLst>
            <a:ext uri="{FF2B5EF4-FFF2-40B4-BE49-F238E27FC236}">
              <a16:creationId xmlns:a16="http://schemas.microsoft.com/office/drawing/2014/main" id="{849C7496-FB25-427E-815F-F069A6423CFF}"/>
            </a:ext>
          </a:extLst>
        </xdr:cNvPr>
        <xdr:cNvCxnSpPr>
          <a:stCxn id="59" idx="3"/>
          <a:endCxn id="52" idx="0"/>
        </xdr:cNvCxnSpPr>
      </xdr:nvCxnSpPr>
      <xdr:spPr>
        <a:xfrm flipH="1">
          <a:off x="3446859" y="4609892"/>
          <a:ext cx="529151" cy="68045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91281</xdr:colOff>
      <xdr:row>22</xdr:row>
      <xdr:rowOff>55563</xdr:rowOff>
    </xdr:from>
    <xdr:to>
      <xdr:col>1</xdr:col>
      <xdr:colOff>674688</xdr:colOff>
      <xdr:row>22</xdr:row>
      <xdr:rowOff>63499</xdr:rowOff>
    </xdr:to>
    <xdr:cxnSp macro="">
      <xdr:nvCxnSpPr>
        <xdr:cNvPr id="134" name="Conector recto de flecha 133">
          <a:extLst>
            <a:ext uri="{FF2B5EF4-FFF2-40B4-BE49-F238E27FC236}">
              <a16:creationId xmlns:a16="http://schemas.microsoft.com/office/drawing/2014/main" id="{8690F33C-C5B9-4223-A0DF-620D77B08A6C}"/>
            </a:ext>
          </a:extLst>
        </xdr:cNvPr>
        <xdr:cNvCxnSpPr>
          <a:stCxn id="72" idx="6"/>
          <a:endCxn id="59" idx="2"/>
        </xdr:cNvCxnSpPr>
      </xdr:nvCxnSpPr>
      <xdr:spPr>
        <a:xfrm>
          <a:off x="3258344" y="4425157"/>
          <a:ext cx="583407" cy="793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290398</xdr:colOff>
      <xdr:row>21</xdr:row>
      <xdr:rowOff>77200</xdr:rowOff>
    </xdr:from>
    <xdr:to>
      <xdr:col>4</xdr:col>
      <xdr:colOff>222251</xdr:colOff>
      <xdr:row>23</xdr:row>
      <xdr:rowOff>39689</xdr:rowOff>
    </xdr:to>
    <xdr:cxnSp macro="">
      <xdr:nvCxnSpPr>
        <xdr:cNvPr id="137" name="Conector recto de flecha 136">
          <a:extLst>
            <a:ext uri="{FF2B5EF4-FFF2-40B4-BE49-F238E27FC236}">
              <a16:creationId xmlns:a16="http://schemas.microsoft.com/office/drawing/2014/main" id="{1754485C-0B2B-4F6F-86EB-0317C9F6FFEC}"/>
            </a:ext>
          </a:extLst>
        </xdr:cNvPr>
        <xdr:cNvCxnSpPr>
          <a:stCxn id="59" idx="7"/>
          <a:endCxn id="80" idx="2"/>
        </xdr:cNvCxnSpPr>
      </xdr:nvCxnSpPr>
      <xdr:spPr>
        <a:xfrm>
          <a:off x="4624273" y="4232481"/>
          <a:ext cx="2313103" cy="34348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290398</xdr:colOff>
      <xdr:row>23</xdr:row>
      <xdr:rowOff>49798</xdr:rowOff>
    </xdr:from>
    <xdr:to>
      <xdr:col>3</xdr:col>
      <xdr:colOff>316821</xdr:colOff>
      <xdr:row>28</xdr:row>
      <xdr:rowOff>21637</xdr:rowOff>
    </xdr:to>
    <xdr:cxnSp macro="">
      <xdr:nvCxnSpPr>
        <xdr:cNvPr id="140" name="Conector recto de flecha 139">
          <a:extLst>
            <a:ext uri="{FF2B5EF4-FFF2-40B4-BE49-F238E27FC236}">
              <a16:creationId xmlns:a16="http://schemas.microsoft.com/office/drawing/2014/main" id="{93AC92EA-E7A4-4E16-A28D-6F7CC84A5336}"/>
            </a:ext>
          </a:extLst>
        </xdr:cNvPr>
        <xdr:cNvCxnSpPr>
          <a:stCxn id="59" idx="5"/>
          <a:endCxn id="81" idx="1"/>
        </xdr:cNvCxnSpPr>
      </xdr:nvCxnSpPr>
      <xdr:spPr>
        <a:xfrm>
          <a:off x="4624273" y="4586079"/>
          <a:ext cx="1264673" cy="92433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290398</xdr:colOff>
      <xdr:row>23</xdr:row>
      <xdr:rowOff>49798</xdr:rowOff>
    </xdr:from>
    <xdr:to>
      <xdr:col>4</xdr:col>
      <xdr:colOff>313533</xdr:colOff>
      <xdr:row>26</xdr:row>
      <xdr:rowOff>115093</xdr:rowOff>
    </xdr:to>
    <xdr:cxnSp macro="">
      <xdr:nvCxnSpPr>
        <xdr:cNvPr id="143" name="Conector recto de flecha 142">
          <a:extLst>
            <a:ext uri="{FF2B5EF4-FFF2-40B4-BE49-F238E27FC236}">
              <a16:creationId xmlns:a16="http://schemas.microsoft.com/office/drawing/2014/main" id="{3404A682-806C-40C7-8BC2-F7330C545BD0}"/>
            </a:ext>
          </a:extLst>
        </xdr:cNvPr>
        <xdr:cNvCxnSpPr>
          <a:stCxn id="59" idx="5"/>
          <a:endCxn id="82" idx="2"/>
        </xdr:cNvCxnSpPr>
      </xdr:nvCxnSpPr>
      <xdr:spPr>
        <a:xfrm>
          <a:off x="4624273" y="4586079"/>
          <a:ext cx="2404385" cy="63679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290398</xdr:colOff>
      <xdr:row>20</xdr:row>
      <xdr:rowOff>87310</xdr:rowOff>
    </xdr:from>
    <xdr:to>
      <xdr:col>3</xdr:col>
      <xdr:colOff>150813</xdr:colOff>
      <xdr:row>21</xdr:row>
      <xdr:rowOff>77200</xdr:rowOff>
    </xdr:to>
    <xdr:cxnSp macro="">
      <xdr:nvCxnSpPr>
        <xdr:cNvPr id="147" name="Conector recto de flecha 146">
          <a:extLst>
            <a:ext uri="{FF2B5EF4-FFF2-40B4-BE49-F238E27FC236}">
              <a16:creationId xmlns:a16="http://schemas.microsoft.com/office/drawing/2014/main" id="{031D1F05-662D-4939-837E-6EE2A8BA1E2C}"/>
            </a:ext>
          </a:extLst>
        </xdr:cNvPr>
        <xdr:cNvCxnSpPr>
          <a:stCxn id="59" idx="7"/>
          <a:endCxn id="54" idx="2"/>
        </xdr:cNvCxnSpPr>
      </xdr:nvCxnSpPr>
      <xdr:spPr>
        <a:xfrm flipV="1">
          <a:off x="4624273" y="4063998"/>
          <a:ext cx="1098665" cy="18039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1133079</xdr:colOff>
      <xdr:row>23</xdr:row>
      <xdr:rowOff>123030</xdr:rowOff>
    </xdr:from>
    <xdr:to>
      <xdr:col>2</xdr:col>
      <xdr:colOff>343296</xdr:colOff>
      <xdr:row>27</xdr:row>
      <xdr:rowOff>134938</xdr:rowOff>
    </xdr:to>
    <xdr:cxnSp macro="">
      <xdr:nvCxnSpPr>
        <xdr:cNvPr id="155" name="Conector recto de flecha 154">
          <a:extLst>
            <a:ext uri="{FF2B5EF4-FFF2-40B4-BE49-F238E27FC236}">
              <a16:creationId xmlns:a16="http://schemas.microsoft.com/office/drawing/2014/main" id="{82DBBA42-E8F3-4561-8DF7-26C3F32C599A}"/>
            </a:ext>
          </a:extLst>
        </xdr:cNvPr>
        <xdr:cNvCxnSpPr>
          <a:stCxn id="59" idx="4"/>
          <a:endCxn id="83" idx="0"/>
        </xdr:cNvCxnSpPr>
      </xdr:nvCxnSpPr>
      <xdr:spPr>
        <a:xfrm>
          <a:off x="4300142" y="4659311"/>
          <a:ext cx="377029" cy="77390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745727</xdr:colOff>
      <xdr:row>23</xdr:row>
      <xdr:rowOff>123030</xdr:rowOff>
    </xdr:from>
    <xdr:to>
      <xdr:col>1</xdr:col>
      <xdr:colOff>1133079</xdr:colOff>
      <xdr:row>30</xdr:row>
      <xdr:rowOff>61119</xdr:rowOff>
    </xdr:to>
    <xdr:cxnSp macro="">
      <xdr:nvCxnSpPr>
        <xdr:cNvPr id="164" name="Conector recto de flecha 163">
          <a:extLst>
            <a:ext uri="{FF2B5EF4-FFF2-40B4-BE49-F238E27FC236}">
              <a16:creationId xmlns:a16="http://schemas.microsoft.com/office/drawing/2014/main" id="{4BA1DDD0-DA79-492E-8C8C-7C001B718368}"/>
            </a:ext>
          </a:extLst>
        </xdr:cNvPr>
        <xdr:cNvCxnSpPr>
          <a:stCxn id="59" idx="4"/>
          <a:endCxn id="61" idx="0"/>
        </xdr:cNvCxnSpPr>
      </xdr:nvCxnSpPr>
      <xdr:spPr>
        <a:xfrm flipH="1">
          <a:off x="3912790" y="4659311"/>
          <a:ext cx="387352" cy="127158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1783555</xdr:colOff>
      <xdr:row>33</xdr:row>
      <xdr:rowOff>188118</xdr:rowOff>
    </xdr:from>
    <xdr:to>
      <xdr:col>0</xdr:col>
      <xdr:colOff>2700336</xdr:colOff>
      <xdr:row>36</xdr:row>
      <xdr:rowOff>116680</xdr:rowOff>
    </xdr:to>
    <xdr:sp macro="" textlink="">
      <xdr:nvSpPr>
        <xdr:cNvPr id="168" name="Elipse 167">
          <a:extLst>
            <a:ext uri="{FF2B5EF4-FFF2-40B4-BE49-F238E27FC236}">
              <a16:creationId xmlns:a16="http://schemas.microsoft.com/office/drawing/2014/main" id="{257AB1CB-A7CA-49AF-AE2F-2653DDD8A2B6}"/>
            </a:ext>
          </a:extLst>
        </xdr:cNvPr>
        <xdr:cNvSpPr/>
      </xdr:nvSpPr>
      <xdr:spPr>
        <a:xfrm>
          <a:off x="1783555" y="6641306"/>
          <a:ext cx="916781" cy="500062"/>
        </a:xfrm>
        <a:prstGeom prst="ellipse">
          <a:avLst/>
        </a:prstGeom>
        <a:solidFill>
          <a:schemeClr val="accent5">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L</a:t>
          </a:r>
        </a:p>
      </xdr:txBody>
    </xdr:sp>
    <xdr:clientData/>
  </xdr:twoCellAnchor>
  <xdr:twoCellAnchor>
    <xdr:from>
      <xdr:col>0</xdr:col>
      <xdr:colOff>1295798</xdr:colOff>
      <xdr:row>23</xdr:row>
      <xdr:rowOff>186531</xdr:rowOff>
    </xdr:from>
    <xdr:to>
      <xdr:col>0</xdr:col>
      <xdr:colOff>1917814</xdr:colOff>
      <xdr:row>34</xdr:row>
      <xdr:rowOff>70850</xdr:rowOff>
    </xdr:to>
    <xdr:cxnSp macro="">
      <xdr:nvCxnSpPr>
        <xdr:cNvPr id="169" name="Conector recto de flecha 168">
          <a:extLst>
            <a:ext uri="{FF2B5EF4-FFF2-40B4-BE49-F238E27FC236}">
              <a16:creationId xmlns:a16="http://schemas.microsoft.com/office/drawing/2014/main" id="{5BD7B193-CAF8-4223-953E-7B308C87BBB9}"/>
            </a:ext>
          </a:extLst>
        </xdr:cNvPr>
        <xdr:cNvCxnSpPr>
          <a:stCxn id="44" idx="4"/>
          <a:endCxn id="168" idx="1"/>
        </xdr:cNvCxnSpPr>
      </xdr:nvCxnSpPr>
      <xdr:spPr>
        <a:xfrm>
          <a:off x="1295798" y="4734719"/>
          <a:ext cx="622016" cy="197981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2700336</xdr:colOff>
      <xdr:row>34</xdr:row>
      <xdr:rowOff>119062</xdr:rowOff>
    </xdr:from>
    <xdr:to>
      <xdr:col>2</xdr:col>
      <xdr:colOff>726280</xdr:colOff>
      <xdr:row>35</xdr:row>
      <xdr:rowOff>57149</xdr:rowOff>
    </xdr:to>
    <xdr:cxnSp macro="">
      <xdr:nvCxnSpPr>
        <xdr:cNvPr id="175" name="Conector recto de flecha 174">
          <a:extLst>
            <a:ext uri="{FF2B5EF4-FFF2-40B4-BE49-F238E27FC236}">
              <a16:creationId xmlns:a16="http://schemas.microsoft.com/office/drawing/2014/main" id="{B5308154-C916-49AB-B91D-F6F4A96D67A0}"/>
            </a:ext>
          </a:extLst>
        </xdr:cNvPr>
        <xdr:cNvCxnSpPr>
          <a:stCxn id="168" idx="6"/>
          <a:endCxn id="62" idx="2"/>
        </xdr:cNvCxnSpPr>
      </xdr:nvCxnSpPr>
      <xdr:spPr>
        <a:xfrm flipV="1">
          <a:off x="2700336" y="6762750"/>
          <a:ext cx="2359819" cy="12858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2700336</xdr:colOff>
      <xdr:row>35</xdr:row>
      <xdr:rowOff>57149</xdr:rowOff>
    </xdr:from>
    <xdr:to>
      <xdr:col>4</xdr:col>
      <xdr:colOff>229507</xdr:colOff>
      <xdr:row>38</xdr:row>
      <xdr:rowOff>152987</xdr:rowOff>
    </xdr:to>
    <xdr:cxnSp macro="">
      <xdr:nvCxnSpPr>
        <xdr:cNvPr id="186" name="Conector recto de flecha 185">
          <a:extLst>
            <a:ext uri="{FF2B5EF4-FFF2-40B4-BE49-F238E27FC236}">
              <a16:creationId xmlns:a16="http://schemas.microsoft.com/office/drawing/2014/main" id="{84AA1ECE-DAE9-45F9-BA60-210E860D7724}"/>
            </a:ext>
          </a:extLst>
        </xdr:cNvPr>
        <xdr:cNvCxnSpPr>
          <a:stCxn id="168" idx="6"/>
          <a:endCxn id="63" idx="3"/>
        </xdr:cNvCxnSpPr>
      </xdr:nvCxnSpPr>
      <xdr:spPr>
        <a:xfrm>
          <a:off x="2700336" y="6891337"/>
          <a:ext cx="4244296" cy="66733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404811</xdr:colOff>
      <xdr:row>34</xdr:row>
      <xdr:rowOff>119062</xdr:rowOff>
    </xdr:from>
    <xdr:to>
      <xdr:col>4</xdr:col>
      <xdr:colOff>229507</xdr:colOff>
      <xdr:row>36</xdr:row>
      <xdr:rowOff>180389</xdr:rowOff>
    </xdr:to>
    <xdr:cxnSp macro="">
      <xdr:nvCxnSpPr>
        <xdr:cNvPr id="193" name="Conector recto de flecha 192">
          <a:extLst>
            <a:ext uri="{FF2B5EF4-FFF2-40B4-BE49-F238E27FC236}">
              <a16:creationId xmlns:a16="http://schemas.microsoft.com/office/drawing/2014/main" id="{A860D619-DEC1-42F3-83BD-0ECF684E141F}"/>
            </a:ext>
          </a:extLst>
        </xdr:cNvPr>
        <xdr:cNvCxnSpPr>
          <a:stCxn id="62" idx="6"/>
          <a:endCxn id="63" idx="1"/>
        </xdr:cNvCxnSpPr>
      </xdr:nvCxnSpPr>
      <xdr:spPr>
        <a:xfrm>
          <a:off x="5976936" y="6762750"/>
          <a:ext cx="967696" cy="44232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1012029</xdr:colOff>
      <xdr:row>34</xdr:row>
      <xdr:rowOff>130969</xdr:rowOff>
    </xdr:from>
    <xdr:to>
      <xdr:col>5</xdr:col>
      <xdr:colOff>309561</xdr:colOff>
      <xdr:row>37</xdr:row>
      <xdr:rowOff>166688</xdr:rowOff>
    </xdr:to>
    <xdr:cxnSp macro="">
      <xdr:nvCxnSpPr>
        <xdr:cNvPr id="196" name="Conector recto de flecha 195">
          <a:extLst>
            <a:ext uri="{FF2B5EF4-FFF2-40B4-BE49-F238E27FC236}">
              <a16:creationId xmlns:a16="http://schemas.microsoft.com/office/drawing/2014/main" id="{B1F89259-BBDE-4BE7-AEA0-4EAB8C0706FF}"/>
            </a:ext>
          </a:extLst>
        </xdr:cNvPr>
        <xdr:cNvCxnSpPr>
          <a:stCxn id="63" idx="6"/>
          <a:endCxn id="64" idx="2"/>
        </xdr:cNvCxnSpPr>
      </xdr:nvCxnSpPr>
      <xdr:spPr>
        <a:xfrm flipV="1">
          <a:off x="7727154" y="6774657"/>
          <a:ext cx="952501" cy="60721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464342</xdr:colOff>
      <xdr:row>31</xdr:row>
      <xdr:rowOff>119062</xdr:rowOff>
    </xdr:from>
    <xdr:to>
      <xdr:col>7</xdr:col>
      <xdr:colOff>1035844</xdr:colOff>
      <xdr:row>34</xdr:row>
      <xdr:rowOff>130969</xdr:rowOff>
    </xdr:to>
    <xdr:cxnSp macro="">
      <xdr:nvCxnSpPr>
        <xdr:cNvPr id="200" name="Conector recto de flecha 199">
          <a:extLst>
            <a:ext uri="{FF2B5EF4-FFF2-40B4-BE49-F238E27FC236}">
              <a16:creationId xmlns:a16="http://schemas.microsoft.com/office/drawing/2014/main" id="{A5E740C0-7C4D-41CD-9F01-81D198DF1399}"/>
            </a:ext>
          </a:extLst>
        </xdr:cNvPr>
        <xdr:cNvCxnSpPr>
          <a:stCxn id="64" idx="6"/>
          <a:endCxn id="67" idx="2"/>
        </xdr:cNvCxnSpPr>
      </xdr:nvCxnSpPr>
      <xdr:spPr>
        <a:xfrm flipV="1">
          <a:off x="9596436" y="6191250"/>
          <a:ext cx="1333502" cy="58340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5954</xdr:colOff>
      <xdr:row>26</xdr:row>
      <xdr:rowOff>7729</xdr:rowOff>
    </xdr:from>
    <xdr:to>
      <xdr:col>8</xdr:col>
      <xdr:colOff>608128</xdr:colOff>
      <xdr:row>30</xdr:row>
      <xdr:rowOff>59531</xdr:rowOff>
    </xdr:to>
    <xdr:cxnSp macro="">
      <xdr:nvCxnSpPr>
        <xdr:cNvPr id="203" name="Conector recto de flecha 202">
          <a:extLst>
            <a:ext uri="{FF2B5EF4-FFF2-40B4-BE49-F238E27FC236}">
              <a16:creationId xmlns:a16="http://schemas.microsoft.com/office/drawing/2014/main" id="{52F0844B-4455-4A2A-B2FD-225FDFC53420}"/>
            </a:ext>
          </a:extLst>
        </xdr:cNvPr>
        <xdr:cNvCxnSpPr>
          <a:stCxn id="67" idx="0"/>
          <a:endCxn id="69" idx="3"/>
        </xdr:cNvCxnSpPr>
      </xdr:nvCxnSpPr>
      <xdr:spPr>
        <a:xfrm flipV="1">
          <a:off x="11388329" y="5115510"/>
          <a:ext cx="602174" cy="81380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801686</xdr:colOff>
      <xdr:row>29</xdr:row>
      <xdr:rowOff>3969</xdr:rowOff>
    </xdr:from>
    <xdr:to>
      <xdr:col>3</xdr:col>
      <xdr:colOff>182562</xdr:colOff>
      <xdr:row>29</xdr:row>
      <xdr:rowOff>7936</xdr:rowOff>
    </xdr:to>
    <xdr:cxnSp macro="">
      <xdr:nvCxnSpPr>
        <xdr:cNvPr id="218" name="Conector recto de flecha 217">
          <a:extLst>
            <a:ext uri="{FF2B5EF4-FFF2-40B4-BE49-F238E27FC236}">
              <a16:creationId xmlns:a16="http://schemas.microsoft.com/office/drawing/2014/main" id="{06A0D1C9-266C-4947-9335-A2F74F767F2B}"/>
            </a:ext>
          </a:extLst>
        </xdr:cNvPr>
        <xdr:cNvCxnSpPr>
          <a:stCxn id="83" idx="6"/>
          <a:endCxn id="81" idx="2"/>
        </xdr:cNvCxnSpPr>
      </xdr:nvCxnSpPr>
      <xdr:spPr>
        <a:xfrm>
          <a:off x="5135561" y="5683250"/>
          <a:ext cx="619126" cy="396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965084</xdr:colOff>
      <xdr:row>27</xdr:row>
      <xdr:rowOff>101392</xdr:rowOff>
    </xdr:from>
    <xdr:to>
      <xdr:col>4</xdr:col>
      <xdr:colOff>447792</xdr:colOff>
      <xdr:row>28</xdr:row>
      <xdr:rowOff>21637</xdr:rowOff>
    </xdr:to>
    <xdr:cxnSp macro="">
      <xdr:nvCxnSpPr>
        <xdr:cNvPr id="248" name="Conector recto de flecha 247">
          <a:extLst>
            <a:ext uri="{FF2B5EF4-FFF2-40B4-BE49-F238E27FC236}">
              <a16:creationId xmlns:a16="http://schemas.microsoft.com/office/drawing/2014/main" id="{19E3D776-2AB5-4143-8A76-C7F70861D121}"/>
            </a:ext>
          </a:extLst>
        </xdr:cNvPr>
        <xdr:cNvCxnSpPr>
          <a:stCxn id="81" idx="7"/>
          <a:endCxn id="82" idx="3"/>
        </xdr:cNvCxnSpPr>
      </xdr:nvCxnSpPr>
      <xdr:spPr>
        <a:xfrm flipV="1">
          <a:off x="6537209" y="5399673"/>
          <a:ext cx="625708" cy="11074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1075531</xdr:colOff>
      <xdr:row>20</xdr:row>
      <xdr:rowOff>87310</xdr:rowOff>
    </xdr:from>
    <xdr:to>
      <xdr:col>4</xdr:col>
      <xdr:colOff>357092</xdr:colOff>
      <xdr:row>22</xdr:row>
      <xdr:rowOff>53390</xdr:rowOff>
    </xdr:to>
    <xdr:cxnSp macro="">
      <xdr:nvCxnSpPr>
        <xdr:cNvPr id="255" name="Conector recto de flecha 254">
          <a:extLst>
            <a:ext uri="{FF2B5EF4-FFF2-40B4-BE49-F238E27FC236}">
              <a16:creationId xmlns:a16="http://schemas.microsoft.com/office/drawing/2014/main" id="{1FD27F85-D480-4981-B48A-C606771E19D0}"/>
            </a:ext>
          </a:extLst>
        </xdr:cNvPr>
        <xdr:cNvCxnSpPr>
          <a:stCxn id="54" idx="6"/>
          <a:endCxn id="80" idx="1"/>
        </xdr:cNvCxnSpPr>
      </xdr:nvCxnSpPr>
      <xdr:spPr>
        <a:xfrm>
          <a:off x="6647656" y="4052091"/>
          <a:ext cx="424561" cy="34708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2241946</xdr:colOff>
      <xdr:row>31</xdr:row>
      <xdr:rowOff>120650</xdr:rowOff>
    </xdr:from>
    <xdr:to>
      <xdr:col>1</xdr:col>
      <xdr:colOff>287336</xdr:colOff>
      <xdr:row>33</xdr:row>
      <xdr:rowOff>188118</xdr:rowOff>
    </xdr:to>
    <xdr:cxnSp macro="">
      <xdr:nvCxnSpPr>
        <xdr:cNvPr id="320" name="Conector recto de flecha 319">
          <a:extLst>
            <a:ext uri="{FF2B5EF4-FFF2-40B4-BE49-F238E27FC236}">
              <a16:creationId xmlns:a16="http://schemas.microsoft.com/office/drawing/2014/main" id="{AB7A1458-6F09-485A-8FF2-2C69FA5D7A23}"/>
            </a:ext>
          </a:extLst>
        </xdr:cNvPr>
        <xdr:cNvCxnSpPr>
          <a:stCxn id="61" idx="2"/>
          <a:endCxn id="168" idx="0"/>
        </xdr:cNvCxnSpPr>
      </xdr:nvCxnSpPr>
      <xdr:spPr>
        <a:xfrm flipH="1">
          <a:off x="2241946" y="6180931"/>
          <a:ext cx="1212453" cy="44846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1619929</xdr:colOff>
      <xdr:row>23</xdr:row>
      <xdr:rowOff>113299</xdr:rowOff>
    </xdr:from>
    <xdr:to>
      <xdr:col>0</xdr:col>
      <xdr:colOff>2071687</xdr:colOff>
      <xdr:row>25</xdr:row>
      <xdr:rowOff>119063</xdr:rowOff>
    </xdr:to>
    <xdr:cxnSp macro="">
      <xdr:nvCxnSpPr>
        <xdr:cNvPr id="321" name="Conector recto de flecha 320">
          <a:extLst>
            <a:ext uri="{FF2B5EF4-FFF2-40B4-BE49-F238E27FC236}">
              <a16:creationId xmlns:a16="http://schemas.microsoft.com/office/drawing/2014/main" id="{C34587D4-3923-4C0A-93C9-37AF3265FCD5}"/>
            </a:ext>
          </a:extLst>
        </xdr:cNvPr>
        <xdr:cNvCxnSpPr>
          <a:stCxn id="44" idx="5"/>
        </xdr:cNvCxnSpPr>
      </xdr:nvCxnSpPr>
      <xdr:spPr>
        <a:xfrm>
          <a:off x="1619929" y="4649580"/>
          <a:ext cx="451758" cy="38676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11906</xdr:colOff>
      <xdr:row>3</xdr:row>
      <xdr:rowOff>71437</xdr:rowOff>
    </xdr:from>
    <xdr:to>
      <xdr:col>12</xdr:col>
      <xdr:colOff>309563</xdr:colOff>
      <xdr:row>7</xdr:row>
      <xdr:rowOff>154781</xdr:rowOff>
    </xdr:to>
    <xdr:sp macro="" textlink="">
      <xdr:nvSpPr>
        <xdr:cNvPr id="243" name="Flecha: curvada hacia la izquierda 242">
          <a:extLst>
            <a:ext uri="{FF2B5EF4-FFF2-40B4-BE49-F238E27FC236}">
              <a16:creationId xmlns:a16="http://schemas.microsoft.com/office/drawing/2014/main" id="{F3651637-7237-4EA9-A4BF-93A5A1BA47F2}"/>
            </a:ext>
          </a:extLst>
        </xdr:cNvPr>
        <xdr:cNvSpPr/>
      </xdr:nvSpPr>
      <xdr:spPr>
        <a:xfrm>
          <a:off x="16216312" y="702468"/>
          <a:ext cx="297657" cy="928688"/>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solidFill>
              <a:schemeClr val="tx1"/>
            </a:solidFill>
          </a:endParaRPr>
        </a:p>
      </xdr:txBody>
    </xdr:sp>
    <xdr:clientData/>
  </xdr:twoCellAnchor>
  <xdr:oneCellAnchor>
    <xdr:from>
      <xdr:col>0</xdr:col>
      <xdr:colOff>2176462</xdr:colOff>
      <xdr:row>24</xdr:row>
      <xdr:rowOff>69056</xdr:rowOff>
    </xdr:from>
    <xdr:ext cx="434734" cy="264560"/>
    <xdr:sp macro="" textlink="">
      <xdr:nvSpPr>
        <xdr:cNvPr id="49" name="CuadroTexto 48">
          <a:extLst>
            <a:ext uri="{FF2B5EF4-FFF2-40B4-BE49-F238E27FC236}">
              <a16:creationId xmlns:a16="http://schemas.microsoft.com/office/drawing/2014/main" id="{36CC87D9-9D97-4704-B8FB-BB9E4EF08D32}"/>
            </a:ext>
          </a:extLst>
        </xdr:cNvPr>
        <xdr:cNvSpPr txBox="1"/>
      </xdr:nvSpPr>
      <xdr:spPr>
        <a:xfrm>
          <a:off x="2176462" y="4795837"/>
          <a:ext cx="434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0.95</a:t>
          </a:r>
        </a:p>
      </xdr:txBody>
    </xdr:sp>
    <xdr:clientData/>
  </xdr:oneCellAnchor>
  <xdr:oneCellAnchor>
    <xdr:from>
      <xdr:col>0</xdr:col>
      <xdr:colOff>2936081</xdr:colOff>
      <xdr:row>25</xdr:row>
      <xdr:rowOff>90488</xdr:rowOff>
    </xdr:from>
    <xdr:ext cx="434734" cy="264560"/>
    <xdr:sp macro="" textlink="">
      <xdr:nvSpPr>
        <xdr:cNvPr id="50" name="CuadroTexto 49">
          <a:extLst>
            <a:ext uri="{FF2B5EF4-FFF2-40B4-BE49-F238E27FC236}">
              <a16:creationId xmlns:a16="http://schemas.microsoft.com/office/drawing/2014/main" id="{9F83E760-EF10-43F4-9688-19F2B80A6999}"/>
            </a:ext>
          </a:extLst>
        </xdr:cNvPr>
        <xdr:cNvSpPr txBox="1"/>
      </xdr:nvSpPr>
      <xdr:spPr>
        <a:xfrm>
          <a:off x="2936081" y="5007769"/>
          <a:ext cx="434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0.72</a:t>
          </a:r>
        </a:p>
      </xdr:txBody>
    </xdr:sp>
    <xdr:clientData/>
  </xdr:oneCellAnchor>
  <xdr:oneCellAnchor>
    <xdr:from>
      <xdr:col>1</xdr:col>
      <xdr:colOff>900110</xdr:colOff>
      <xdr:row>19</xdr:row>
      <xdr:rowOff>173831</xdr:rowOff>
    </xdr:from>
    <xdr:ext cx="434734" cy="264560"/>
    <xdr:sp macro="" textlink="">
      <xdr:nvSpPr>
        <xdr:cNvPr id="55" name="CuadroTexto 54">
          <a:extLst>
            <a:ext uri="{FF2B5EF4-FFF2-40B4-BE49-F238E27FC236}">
              <a16:creationId xmlns:a16="http://schemas.microsoft.com/office/drawing/2014/main" id="{FB6A593F-3E34-4D0B-8844-214EE57F0EBF}"/>
            </a:ext>
          </a:extLst>
        </xdr:cNvPr>
        <xdr:cNvSpPr txBox="1"/>
      </xdr:nvSpPr>
      <xdr:spPr>
        <a:xfrm>
          <a:off x="4067173" y="3948112"/>
          <a:ext cx="434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1.05</a:t>
          </a:r>
        </a:p>
      </xdr:txBody>
    </xdr:sp>
    <xdr:clientData/>
  </xdr:oneCellAnchor>
  <xdr:oneCellAnchor>
    <xdr:from>
      <xdr:col>4</xdr:col>
      <xdr:colOff>700087</xdr:colOff>
      <xdr:row>20</xdr:row>
      <xdr:rowOff>140495</xdr:rowOff>
    </xdr:from>
    <xdr:ext cx="434734" cy="264560"/>
    <xdr:sp macro="" textlink="">
      <xdr:nvSpPr>
        <xdr:cNvPr id="56" name="CuadroTexto 55">
          <a:extLst>
            <a:ext uri="{FF2B5EF4-FFF2-40B4-BE49-F238E27FC236}">
              <a16:creationId xmlns:a16="http://schemas.microsoft.com/office/drawing/2014/main" id="{56F90002-6C64-4080-9148-E91A9FFCBB4D}"/>
            </a:ext>
          </a:extLst>
        </xdr:cNvPr>
        <xdr:cNvSpPr txBox="1"/>
      </xdr:nvSpPr>
      <xdr:spPr>
        <a:xfrm>
          <a:off x="7415212" y="4105276"/>
          <a:ext cx="434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0.60</a:t>
          </a:r>
        </a:p>
      </xdr:txBody>
    </xdr:sp>
    <xdr:clientData/>
  </xdr:oneCellAnchor>
  <xdr:oneCellAnchor>
    <xdr:from>
      <xdr:col>3</xdr:col>
      <xdr:colOff>376237</xdr:colOff>
      <xdr:row>26</xdr:row>
      <xdr:rowOff>114301</xdr:rowOff>
    </xdr:from>
    <xdr:ext cx="434734" cy="436786"/>
    <xdr:sp macro="" textlink="">
      <xdr:nvSpPr>
        <xdr:cNvPr id="57" name="CuadroTexto 56">
          <a:extLst>
            <a:ext uri="{FF2B5EF4-FFF2-40B4-BE49-F238E27FC236}">
              <a16:creationId xmlns:a16="http://schemas.microsoft.com/office/drawing/2014/main" id="{B390F622-B154-482F-B514-07359B0272F8}"/>
            </a:ext>
          </a:extLst>
        </xdr:cNvPr>
        <xdr:cNvSpPr txBox="1"/>
      </xdr:nvSpPr>
      <xdr:spPr>
        <a:xfrm>
          <a:off x="5948362" y="5222082"/>
          <a:ext cx="4347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0.52</a:t>
          </a:r>
        </a:p>
        <a:p>
          <a:endParaRPr lang="es-MX" sz="1100"/>
        </a:p>
      </xdr:txBody>
    </xdr:sp>
    <xdr:clientData/>
  </xdr:oneCellAnchor>
  <xdr:oneCellAnchor>
    <xdr:from>
      <xdr:col>4</xdr:col>
      <xdr:colOff>933450</xdr:colOff>
      <xdr:row>24</xdr:row>
      <xdr:rowOff>100013</xdr:rowOff>
    </xdr:from>
    <xdr:ext cx="434734" cy="264560"/>
    <xdr:sp macro="" textlink="">
      <xdr:nvSpPr>
        <xdr:cNvPr id="58" name="CuadroTexto 57">
          <a:extLst>
            <a:ext uri="{FF2B5EF4-FFF2-40B4-BE49-F238E27FC236}">
              <a16:creationId xmlns:a16="http://schemas.microsoft.com/office/drawing/2014/main" id="{F43BF010-5480-4B52-A0BD-069CF92FAC55}"/>
            </a:ext>
          </a:extLst>
        </xdr:cNvPr>
        <xdr:cNvSpPr txBox="1"/>
      </xdr:nvSpPr>
      <xdr:spPr>
        <a:xfrm>
          <a:off x="7648575" y="4826794"/>
          <a:ext cx="434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0.70</a:t>
          </a:r>
        </a:p>
      </xdr:txBody>
    </xdr:sp>
    <xdr:clientData/>
  </xdr:oneCellAnchor>
  <xdr:oneCellAnchor>
    <xdr:from>
      <xdr:col>3</xdr:col>
      <xdr:colOff>995362</xdr:colOff>
      <xdr:row>19</xdr:row>
      <xdr:rowOff>19051</xdr:rowOff>
    </xdr:from>
    <xdr:ext cx="434734" cy="264560"/>
    <xdr:sp macro="" textlink="">
      <xdr:nvSpPr>
        <xdr:cNvPr id="60" name="CuadroTexto 59">
          <a:extLst>
            <a:ext uri="{FF2B5EF4-FFF2-40B4-BE49-F238E27FC236}">
              <a16:creationId xmlns:a16="http://schemas.microsoft.com/office/drawing/2014/main" id="{41CDF546-ABCA-46F6-B1DF-58A2AC2E4D10}"/>
            </a:ext>
          </a:extLst>
        </xdr:cNvPr>
        <xdr:cNvSpPr txBox="1"/>
      </xdr:nvSpPr>
      <xdr:spPr>
        <a:xfrm>
          <a:off x="6567487" y="3793332"/>
          <a:ext cx="434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0.60</a:t>
          </a:r>
        </a:p>
      </xdr:txBody>
    </xdr:sp>
    <xdr:clientData/>
  </xdr:oneCellAnchor>
  <xdr:oneCellAnchor>
    <xdr:from>
      <xdr:col>1</xdr:col>
      <xdr:colOff>1159668</xdr:colOff>
      <xdr:row>30</xdr:row>
      <xdr:rowOff>171450</xdr:rowOff>
    </xdr:from>
    <xdr:ext cx="434734" cy="264560"/>
    <xdr:sp macro="" textlink="">
      <xdr:nvSpPr>
        <xdr:cNvPr id="65" name="CuadroTexto 64">
          <a:extLst>
            <a:ext uri="{FF2B5EF4-FFF2-40B4-BE49-F238E27FC236}">
              <a16:creationId xmlns:a16="http://schemas.microsoft.com/office/drawing/2014/main" id="{EAF9C702-6609-4E4E-975E-E3A2C2721C67}"/>
            </a:ext>
          </a:extLst>
        </xdr:cNvPr>
        <xdr:cNvSpPr txBox="1"/>
      </xdr:nvSpPr>
      <xdr:spPr>
        <a:xfrm>
          <a:off x="4326731" y="6041231"/>
          <a:ext cx="434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0.72</a:t>
          </a:r>
        </a:p>
      </xdr:txBody>
    </xdr:sp>
    <xdr:clientData/>
  </xdr:oneCellAnchor>
  <xdr:oneCellAnchor>
    <xdr:from>
      <xdr:col>0</xdr:col>
      <xdr:colOff>1445418</xdr:colOff>
      <xdr:row>33</xdr:row>
      <xdr:rowOff>159545</xdr:rowOff>
    </xdr:from>
    <xdr:ext cx="434734" cy="264560"/>
    <xdr:sp macro="" textlink="">
      <xdr:nvSpPr>
        <xdr:cNvPr id="66" name="CuadroTexto 65">
          <a:extLst>
            <a:ext uri="{FF2B5EF4-FFF2-40B4-BE49-F238E27FC236}">
              <a16:creationId xmlns:a16="http://schemas.microsoft.com/office/drawing/2014/main" id="{CCA17627-1FDF-4010-BC0E-6F24BC229569}"/>
            </a:ext>
          </a:extLst>
        </xdr:cNvPr>
        <xdr:cNvSpPr txBox="1"/>
      </xdr:nvSpPr>
      <xdr:spPr>
        <a:xfrm>
          <a:off x="1445418" y="6600826"/>
          <a:ext cx="434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0.52</a:t>
          </a:r>
        </a:p>
      </xdr:txBody>
    </xdr:sp>
    <xdr:clientData/>
  </xdr:oneCellAnchor>
  <xdr:oneCellAnchor>
    <xdr:from>
      <xdr:col>2</xdr:col>
      <xdr:colOff>1112044</xdr:colOff>
      <xdr:row>31</xdr:row>
      <xdr:rowOff>183357</xdr:rowOff>
    </xdr:from>
    <xdr:ext cx="434734" cy="264560"/>
    <xdr:sp macro="" textlink="">
      <xdr:nvSpPr>
        <xdr:cNvPr id="68" name="CuadroTexto 67">
          <a:extLst>
            <a:ext uri="{FF2B5EF4-FFF2-40B4-BE49-F238E27FC236}">
              <a16:creationId xmlns:a16="http://schemas.microsoft.com/office/drawing/2014/main" id="{75834E10-5528-4F72-874E-0DCE0ED6E9D4}"/>
            </a:ext>
          </a:extLst>
        </xdr:cNvPr>
        <xdr:cNvSpPr txBox="1"/>
      </xdr:nvSpPr>
      <xdr:spPr>
        <a:xfrm>
          <a:off x="5445919" y="6243638"/>
          <a:ext cx="434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0.77</a:t>
          </a:r>
        </a:p>
      </xdr:txBody>
    </xdr:sp>
    <xdr:clientData/>
  </xdr:oneCellAnchor>
  <xdr:oneCellAnchor>
    <xdr:from>
      <xdr:col>4</xdr:col>
      <xdr:colOff>454818</xdr:colOff>
      <xdr:row>35</xdr:row>
      <xdr:rowOff>14289</xdr:rowOff>
    </xdr:from>
    <xdr:ext cx="434734" cy="264560"/>
    <xdr:sp macro="" textlink="">
      <xdr:nvSpPr>
        <xdr:cNvPr id="70" name="CuadroTexto 69">
          <a:extLst>
            <a:ext uri="{FF2B5EF4-FFF2-40B4-BE49-F238E27FC236}">
              <a16:creationId xmlns:a16="http://schemas.microsoft.com/office/drawing/2014/main" id="{D29273AD-8C47-465F-843E-32BC8D9433D7}"/>
            </a:ext>
          </a:extLst>
        </xdr:cNvPr>
        <xdr:cNvSpPr txBox="1"/>
      </xdr:nvSpPr>
      <xdr:spPr>
        <a:xfrm>
          <a:off x="7169943" y="6836570"/>
          <a:ext cx="434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0.62</a:t>
          </a:r>
        </a:p>
      </xdr:txBody>
    </xdr:sp>
    <xdr:clientData/>
  </xdr:oneCellAnchor>
  <xdr:oneCellAnchor>
    <xdr:from>
      <xdr:col>5</xdr:col>
      <xdr:colOff>573881</xdr:colOff>
      <xdr:row>31</xdr:row>
      <xdr:rowOff>180975</xdr:rowOff>
    </xdr:from>
    <xdr:ext cx="434734" cy="264560"/>
    <xdr:sp macro="" textlink="">
      <xdr:nvSpPr>
        <xdr:cNvPr id="71" name="CuadroTexto 70">
          <a:extLst>
            <a:ext uri="{FF2B5EF4-FFF2-40B4-BE49-F238E27FC236}">
              <a16:creationId xmlns:a16="http://schemas.microsoft.com/office/drawing/2014/main" id="{EF8E0FBB-648D-4560-A678-8183ADBC8E11}"/>
            </a:ext>
          </a:extLst>
        </xdr:cNvPr>
        <xdr:cNvSpPr txBox="1"/>
      </xdr:nvSpPr>
      <xdr:spPr>
        <a:xfrm>
          <a:off x="8943975" y="6241256"/>
          <a:ext cx="434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0.70</a:t>
          </a:r>
        </a:p>
      </xdr:txBody>
    </xdr:sp>
    <xdr:clientData/>
  </xdr:oneCellAnchor>
  <xdr:oneCellAnchor>
    <xdr:from>
      <xdr:col>7</xdr:col>
      <xdr:colOff>697706</xdr:colOff>
      <xdr:row>29</xdr:row>
      <xdr:rowOff>138112</xdr:rowOff>
    </xdr:from>
    <xdr:ext cx="434734" cy="264560"/>
    <xdr:sp macro="" textlink="">
      <xdr:nvSpPr>
        <xdr:cNvPr id="73" name="CuadroTexto 72">
          <a:extLst>
            <a:ext uri="{FF2B5EF4-FFF2-40B4-BE49-F238E27FC236}">
              <a16:creationId xmlns:a16="http://schemas.microsoft.com/office/drawing/2014/main" id="{69201B95-A17B-4475-9427-62D616D49C51}"/>
            </a:ext>
          </a:extLst>
        </xdr:cNvPr>
        <xdr:cNvSpPr txBox="1"/>
      </xdr:nvSpPr>
      <xdr:spPr>
        <a:xfrm>
          <a:off x="10591800" y="5817393"/>
          <a:ext cx="434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0.98</a:t>
          </a:r>
        </a:p>
      </xdr:txBody>
    </xdr:sp>
    <xdr:clientData/>
  </xdr:oneCellAnchor>
  <xdr:oneCellAnchor>
    <xdr:from>
      <xdr:col>8</xdr:col>
      <xdr:colOff>357188</xdr:colOff>
      <xdr:row>23</xdr:row>
      <xdr:rowOff>0</xdr:rowOff>
    </xdr:from>
    <xdr:ext cx="434734" cy="264560"/>
    <xdr:sp macro="" textlink="">
      <xdr:nvSpPr>
        <xdr:cNvPr id="75" name="CuadroTexto 74">
          <a:extLst>
            <a:ext uri="{FF2B5EF4-FFF2-40B4-BE49-F238E27FC236}">
              <a16:creationId xmlns:a16="http://schemas.microsoft.com/office/drawing/2014/main" id="{51E1EFA8-74FF-4940-8276-936FB8C9FA9D}"/>
            </a:ext>
          </a:extLst>
        </xdr:cNvPr>
        <xdr:cNvSpPr txBox="1"/>
      </xdr:nvSpPr>
      <xdr:spPr>
        <a:xfrm>
          <a:off x="11739563" y="4536281"/>
          <a:ext cx="434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0.80</a:t>
          </a:r>
        </a:p>
      </xdr:txBody>
    </xdr:sp>
    <xdr:clientData/>
  </xdr:oneCellAnchor>
  <xdr:oneCellAnchor>
    <xdr:from>
      <xdr:col>2</xdr:col>
      <xdr:colOff>383381</xdr:colOff>
      <xdr:row>26</xdr:row>
      <xdr:rowOff>145257</xdr:rowOff>
    </xdr:from>
    <xdr:ext cx="434734" cy="264560"/>
    <xdr:sp macro="" textlink="">
      <xdr:nvSpPr>
        <xdr:cNvPr id="76" name="CuadroTexto 75">
          <a:extLst>
            <a:ext uri="{FF2B5EF4-FFF2-40B4-BE49-F238E27FC236}">
              <a16:creationId xmlns:a16="http://schemas.microsoft.com/office/drawing/2014/main" id="{C5179B6A-7241-4709-BDE5-62FF6BE3183F}"/>
            </a:ext>
          </a:extLst>
        </xdr:cNvPr>
        <xdr:cNvSpPr txBox="1"/>
      </xdr:nvSpPr>
      <xdr:spPr>
        <a:xfrm>
          <a:off x="4717256" y="5253038"/>
          <a:ext cx="434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0.57</a:t>
          </a:r>
        </a:p>
      </xdr:txBody>
    </xdr:sp>
    <xdr:clientData/>
  </xdr:oneCellAnchor>
  <xdr:oneCellAnchor>
    <xdr:from>
      <xdr:col>0</xdr:col>
      <xdr:colOff>1457325</xdr:colOff>
      <xdr:row>20</xdr:row>
      <xdr:rowOff>52388</xdr:rowOff>
    </xdr:from>
    <xdr:ext cx="434734" cy="264560"/>
    <xdr:sp macro="" textlink="">
      <xdr:nvSpPr>
        <xdr:cNvPr id="77" name="CuadroTexto 76">
          <a:extLst>
            <a:ext uri="{FF2B5EF4-FFF2-40B4-BE49-F238E27FC236}">
              <a16:creationId xmlns:a16="http://schemas.microsoft.com/office/drawing/2014/main" id="{79781B33-E5CC-4580-9E82-C157BC8AF8E5}"/>
            </a:ext>
          </a:extLst>
        </xdr:cNvPr>
        <xdr:cNvSpPr txBox="1"/>
      </xdr:nvSpPr>
      <xdr:spPr>
        <a:xfrm>
          <a:off x="1457325" y="4017169"/>
          <a:ext cx="434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0.67</a:t>
          </a:r>
        </a:p>
      </xdr:txBody>
    </xdr:sp>
    <xdr:clientData/>
  </xdr:oneCellAnchor>
  <xdr:oneCellAnchor>
    <xdr:from>
      <xdr:col>0</xdr:col>
      <xdr:colOff>2409824</xdr:colOff>
      <xdr:row>19</xdr:row>
      <xdr:rowOff>159545</xdr:rowOff>
    </xdr:from>
    <xdr:ext cx="434734" cy="436786"/>
    <xdr:sp macro="" textlink="">
      <xdr:nvSpPr>
        <xdr:cNvPr id="78" name="CuadroTexto 77">
          <a:extLst>
            <a:ext uri="{FF2B5EF4-FFF2-40B4-BE49-F238E27FC236}">
              <a16:creationId xmlns:a16="http://schemas.microsoft.com/office/drawing/2014/main" id="{7E701067-8611-4384-80B6-EE4602FAB5A8}"/>
            </a:ext>
          </a:extLst>
        </xdr:cNvPr>
        <xdr:cNvSpPr txBox="1"/>
      </xdr:nvSpPr>
      <xdr:spPr>
        <a:xfrm>
          <a:off x="2409824" y="3933826"/>
          <a:ext cx="4347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100"/>
            <a:t>0.50</a:t>
          </a:r>
        </a:p>
        <a:p>
          <a:endParaRPr lang="es-MX"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4"/>
  <sheetViews>
    <sheetView tabSelected="1" zoomScale="80" zoomScaleNormal="80" workbookViewId="0">
      <selection activeCell="D55" sqref="D55"/>
    </sheetView>
  </sheetViews>
  <sheetFormatPr baseColWidth="10" defaultColWidth="11.42578125" defaultRowHeight="15" x14ac:dyDescent="0.25"/>
  <cols>
    <col min="1" max="1" width="47.42578125" style="23" customWidth="1"/>
    <col min="2" max="2" width="17.42578125" customWidth="1"/>
    <col min="3" max="3" width="18.5703125" customWidth="1"/>
    <col min="4" max="4" width="17.140625" customWidth="1"/>
    <col min="5" max="5" width="24.85546875" customWidth="1"/>
    <col min="8" max="8" width="22.28515625" customWidth="1"/>
    <col min="9" max="9" width="24.28515625" customWidth="1"/>
    <col min="10" max="10" width="11.5703125" customWidth="1"/>
    <col min="11" max="11" width="23.85546875" customWidth="1"/>
    <col min="12" max="12" width="12.42578125" customWidth="1"/>
    <col min="13" max="13" width="11.140625" customWidth="1"/>
    <col min="14" max="14" width="15.5703125" bestFit="1" customWidth="1"/>
    <col min="15" max="15" width="12.42578125" customWidth="1"/>
  </cols>
  <sheetData>
    <row r="1" spans="1:15" ht="19.5" customHeight="1" x14ac:dyDescent="0.25">
      <c r="A1" s="38" t="s">
        <v>0</v>
      </c>
      <c r="B1" s="38" t="s">
        <v>1</v>
      </c>
      <c r="C1" s="38"/>
      <c r="D1" s="38"/>
      <c r="E1" s="6" t="s">
        <v>2</v>
      </c>
      <c r="G1" s="38" t="s">
        <v>0</v>
      </c>
      <c r="H1" s="8" t="s">
        <v>30</v>
      </c>
      <c r="I1" s="8" t="s">
        <v>2</v>
      </c>
      <c r="J1" s="2"/>
      <c r="K1" s="8" t="s">
        <v>3</v>
      </c>
      <c r="L1" s="8" t="s">
        <v>4</v>
      </c>
      <c r="N1" s="38" t="s">
        <v>5</v>
      </c>
      <c r="O1" s="38"/>
    </row>
    <row r="2" spans="1:15" x14ac:dyDescent="0.25">
      <c r="A2" s="38"/>
      <c r="B2" s="9" t="s">
        <v>6</v>
      </c>
      <c r="C2" s="9" t="s">
        <v>7</v>
      </c>
      <c r="D2" s="9" t="s">
        <v>8</v>
      </c>
      <c r="E2" s="7" t="s">
        <v>9</v>
      </c>
      <c r="G2" s="38"/>
      <c r="H2" s="9" t="s">
        <v>10</v>
      </c>
      <c r="I2" s="8" t="s">
        <v>9</v>
      </c>
      <c r="J2" s="2"/>
      <c r="K2" s="27" t="s">
        <v>58</v>
      </c>
      <c r="L2" s="28">
        <f>(H3+H14+H15+H16+H17+H18+H19)</f>
        <v>4.95</v>
      </c>
      <c r="N2" s="39" t="s">
        <v>11</v>
      </c>
      <c r="O2" s="39"/>
    </row>
    <row r="3" spans="1:15" x14ac:dyDescent="0.25">
      <c r="A3" s="21" t="s">
        <v>39</v>
      </c>
      <c r="B3" s="1">
        <v>0.4</v>
      </c>
      <c r="C3" s="1">
        <v>0.7</v>
      </c>
      <c r="D3" s="1">
        <v>0.8</v>
      </c>
      <c r="E3" s="1" t="s">
        <v>21</v>
      </c>
      <c r="G3" s="5" t="s">
        <v>12</v>
      </c>
      <c r="H3" s="13">
        <f>(B3+4*C3+D3)/6</f>
        <v>0.66666666666666663</v>
      </c>
      <c r="I3" s="1" t="s">
        <v>21</v>
      </c>
      <c r="K3" s="1" t="s">
        <v>59</v>
      </c>
      <c r="L3" s="25">
        <f>(H3+H14+H15+H17+H18+H19)</f>
        <v>4.333333333333333</v>
      </c>
      <c r="N3" s="5" t="s">
        <v>12</v>
      </c>
      <c r="O3" s="12">
        <f t="shared" ref="O3:O8" si="0">((D3-B3)/6)^2</f>
        <v>4.4444444444444444E-3</v>
      </c>
    </row>
    <row r="4" spans="1:15" x14ac:dyDescent="0.25">
      <c r="A4" s="21" t="s">
        <v>40</v>
      </c>
      <c r="B4" s="1">
        <v>0.6</v>
      </c>
      <c r="C4" s="1">
        <v>0.9</v>
      </c>
      <c r="D4" s="1">
        <v>1.5</v>
      </c>
      <c r="E4" s="1" t="s">
        <v>12</v>
      </c>
      <c r="G4" s="5" t="s">
        <v>14</v>
      </c>
      <c r="H4" s="25">
        <f t="shared" ref="H4:H19" si="1">(B4+4*C4+D4)/6</f>
        <v>0.95000000000000007</v>
      </c>
      <c r="I4" s="1" t="s">
        <v>12</v>
      </c>
      <c r="K4" s="40" t="s">
        <v>64</v>
      </c>
      <c r="L4" s="41">
        <f>(H3+H6+H7+H13+H14+H15+H16+H17+H18+H19)</f>
        <v>7.2166666666666677</v>
      </c>
      <c r="N4" s="5" t="s">
        <v>14</v>
      </c>
      <c r="O4" s="12">
        <f t="shared" si="0"/>
        <v>2.2499999999999999E-2</v>
      </c>
    </row>
    <row r="5" spans="1:15" ht="18" customHeight="1" x14ac:dyDescent="0.25">
      <c r="A5" s="19" t="s">
        <v>41</v>
      </c>
      <c r="B5" s="1">
        <v>0.6</v>
      </c>
      <c r="C5" s="1">
        <v>0.7</v>
      </c>
      <c r="D5" s="1">
        <v>0.9</v>
      </c>
      <c r="E5" s="1" t="s">
        <v>56</v>
      </c>
      <c r="G5" s="5" t="s">
        <v>15</v>
      </c>
      <c r="H5" s="25">
        <f t="shared" si="1"/>
        <v>0.71666666666666667</v>
      </c>
      <c r="I5" s="1" t="s">
        <v>56</v>
      </c>
      <c r="K5" s="3" t="s">
        <v>65</v>
      </c>
      <c r="L5" s="17">
        <f>(H3+H6+H7+H13+H14+H15+H17+H18+H19)</f>
        <v>6.6000000000000005</v>
      </c>
      <c r="N5" s="5" t="s">
        <v>15</v>
      </c>
      <c r="O5" s="12">
        <f t="shared" si="0"/>
        <v>2.5000000000000009E-3</v>
      </c>
    </row>
    <row r="6" spans="1:15" x14ac:dyDescent="0.25">
      <c r="A6" s="21" t="s">
        <v>42</v>
      </c>
      <c r="B6" s="26">
        <v>0.3</v>
      </c>
      <c r="C6" s="26">
        <v>0.5</v>
      </c>
      <c r="D6" s="26">
        <v>0.7</v>
      </c>
      <c r="E6" s="1" t="s">
        <v>12</v>
      </c>
      <c r="G6" s="5" t="s">
        <v>16</v>
      </c>
      <c r="H6" s="25">
        <f t="shared" si="1"/>
        <v>0.5</v>
      </c>
      <c r="I6" s="1" t="s">
        <v>12</v>
      </c>
      <c r="K6" s="16"/>
      <c r="L6" s="18"/>
      <c r="N6" s="5" t="s">
        <v>16</v>
      </c>
      <c r="O6" s="12">
        <f t="shared" si="0"/>
        <v>4.4444444444444444E-3</v>
      </c>
    </row>
    <row r="7" spans="1:15" ht="18.75" customHeight="1" x14ac:dyDescent="0.25">
      <c r="A7" s="21" t="s">
        <v>43</v>
      </c>
      <c r="B7" s="1">
        <v>0.8</v>
      </c>
      <c r="C7" s="1">
        <v>1</v>
      </c>
      <c r="D7" s="1">
        <v>1.5</v>
      </c>
      <c r="E7" s="1" t="s">
        <v>16</v>
      </c>
      <c r="G7" s="5" t="s">
        <v>17</v>
      </c>
      <c r="H7" s="25">
        <f>(B7+4*C7+D7)/6</f>
        <v>1.05</v>
      </c>
      <c r="I7" s="1" t="s">
        <v>16</v>
      </c>
      <c r="N7" s="5" t="s">
        <v>17</v>
      </c>
      <c r="O7" s="12">
        <f t="shared" si="0"/>
        <v>1.3611111111111109E-2</v>
      </c>
    </row>
    <row r="8" spans="1:15" ht="15" customHeight="1" x14ac:dyDescent="0.25">
      <c r="A8" s="19" t="s">
        <v>44</v>
      </c>
      <c r="B8" s="1">
        <v>0.4</v>
      </c>
      <c r="C8" s="1">
        <v>0.6</v>
      </c>
      <c r="D8" s="1">
        <v>0.8</v>
      </c>
      <c r="E8" s="26" t="s">
        <v>62</v>
      </c>
      <c r="G8" s="5" t="s">
        <v>18</v>
      </c>
      <c r="H8" s="25">
        <f>(B8+4*C8+D8)/6</f>
        <v>0.6</v>
      </c>
      <c r="I8" s="26" t="s">
        <v>62</v>
      </c>
      <c r="K8" s="11" t="s">
        <v>23</v>
      </c>
      <c r="L8" s="12"/>
      <c r="N8" s="5" t="s">
        <v>18</v>
      </c>
      <c r="O8" s="12">
        <f t="shared" si="0"/>
        <v>4.4444444444444444E-3</v>
      </c>
    </row>
    <row r="9" spans="1:15" ht="14.25" customHeight="1" x14ac:dyDescent="0.25">
      <c r="A9" s="21" t="s">
        <v>45</v>
      </c>
      <c r="B9" s="1">
        <v>0.3</v>
      </c>
      <c r="C9" s="1">
        <v>0.5</v>
      </c>
      <c r="D9" s="1">
        <v>0.8</v>
      </c>
      <c r="E9" s="1" t="s">
        <v>60</v>
      </c>
      <c r="G9" s="5" t="s">
        <v>20</v>
      </c>
      <c r="H9" s="25">
        <f t="shared" si="1"/>
        <v>0.51666666666666661</v>
      </c>
      <c r="I9" s="1" t="s">
        <v>60</v>
      </c>
      <c r="K9" s="11"/>
      <c r="L9" s="12"/>
      <c r="N9" s="5" t="s">
        <v>20</v>
      </c>
      <c r="O9" s="12">
        <f t="shared" ref="O9:O18" si="2">((D9-B9)/6)^2</f>
        <v>6.9444444444444441E-3</v>
      </c>
    </row>
    <row r="10" spans="1:15" x14ac:dyDescent="0.25">
      <c r="A10" s="21" t="s">
        <v>46</v>
      </c>
      <c r="B10" s="1">
        <v>0.5</v>
      </c>
      <c r="C10" s="1">
        <v>0.7</v>
      </c>
      <c r="D10" s="1">
        <v>0.9</v>
      </c>
      <c r="E10" s="1" t="s">
        <v>61</v>
      </c>
      <c r="G10" s="5" t="s">
        <v>19</v>
      </c>
      <c r="H10" s="25">
        <f t="shared" si="1"/>
        <v>0.70000000000000007</v>
      </c>
      <c r="I10" s="1" t="s">
        <v>61</v>
      </c>
      <c r="K10" s="11" t="s">
        <v>25</v>
      </c>
      <c r="L10" s="32">
        <f>O3+O6+O7+O13+O14+O15+O16+O17+O18+O19</f>
        <v>6.6944444444444445E-2</v>
      </c>
      <c r="N10" s="5" t="s">
        <v>19</v>
      </c>
      <c r="O10" s="12">
        <f>((D10-B10)/6)^2</f>
        <v>4.4444444444444444E-3</v>
      </c>
    </row>
    <row r="11" spans="1:15" x14ac:dyDescent="0.25">
      <c r="A11" s="21" t="s">
        <v>47</v>
      </c>
      <c r="B11" s="1">
        <v>0.4</v>
      </c>
      <c r="C11" s="1">
        <v>0.6</v>
      </c>
      <c r="D11" s="1">
        <v>0.8</v>
      </c>
      <c r="E11" s="1" t="s">
        <v>17</v>
      </c>
      <c r="G11" s="5" t="s">
        <v>13</v>
      </c>
      <c r="H11" s="25">
        <f>(B11+4*C11+D11)/6</f>
        <v>0.6</v>
      </c>
      <c r="I11" s="1" t="s">
        <v>17</v>
      </c>
      <c r="K11" s="11"/>
      <c r="L11" s="12"/>
      <c r="N11" s="5" t="s">
        <v>13</v>
      </c>
      <c r="O11" s="12">
        <f>((D11-B11)/6)^2</f>
        <v>4.4444444444444444E-3</v>
      </c>
    </row>
    <row r="12" spans="1:15" x14ac:dyDescent="0.25">
      <c r="A12" s="21" t="s">
        <v>48</v>
      </c>
      <c r="B12" s="1">
        <v>0.5</v>
      </c>
      <c r="C12" s="1">
        <v>0.5</v>
      </c>
      <c r="D12" s="1">
        <v>0.9</v>
      </c>
      <c r="E12" s="1" t="s">
        <v>17</v>
      </c>
      <c r="G12" s="5" t="s">
        <v>22</v>
      </c>
      <c r="H12" s="25">
        <f t="shared" si="1"/>
        <v>0.56666666666666665</v>
      </c>
      <c r="I12" s="1" t="s">
        <v>17</v>
      </c>
      <c r="K12" s="11" t="s">
        <v>26</v>
      </c>
      <c r="L12" s="12"/>
      <c r="N12" s="5" t="s">
        <v>22</v>
      </c>
      <c r="O12" s="12">
        <f t="shared" si="2"/>
        <v>4.4444444444444444E-3</v>
      </c>
    </row>
    <row r="13" spans="1:15" ht="14.25" customHeight="1" x14ac:dyDescent="0.25">
      <c r="A13" s="19" t="s">
        <v>49</v>
      </c>
      <c r="B13" s="1">
        <v>0.6</v>
      </c>
      <c r="C13" s="1">
        <v>0.7</v>
      </c>
      <c r="D13" s="1">
        <v>0.9</v>
      </c>
      <c r="E13" s="1" t="s">
        <v>17</v>
      </c>
      <c r="G13" s="5" t="s">
        <v>32</v>
      </c>
      <c r="H13" s="25">
        <f t="shared" si="1"/>
        <v>0.71666666666666667</v>
      </c>
      <c r="I13" s="1" t="s">
        <v>17</v>
      </c>
      <c r="K13" s="36" t="s">
        <v>27</v>
      </c>
      <c r="L13" s="37"/>
      <c r="N13" s="5" t="s">
        <v>32</v>
      </c>
      <c r="O13" s="12">
        <f t="shared" si="2"/>
        <v>2.5000000000000009E-3</v>
      </c>
    </row>
    <row r="14" spans="1:15" ht="18" customHeight="1" x14ac:dyDescent="0.25">
      <c r="A14" s="19" t="s">
        <v>55</v>
      </c>
      <c r="B14" s="1">
        <v>0.3</v>
      </c>
      <c r="C14" s="1">
        <v>0.5</v>
      </c>
      <c r="D14" s="1">
        <v>0.8</v>
      </c>
      <c r="E14" s="1" t="s">
        <v>63</v>
      </c>
      <c r="G14" s="5" t="s">
        <v>33</v>
      </c>
      <c r="H14" s="25">
        <f t="shared" si="1"/>
        <v>0.51666666666666661</v>
      </c>
      <c r="I14" s="1" t="s">
        <v>63</v>
      </c>
      <c r="K14" s="34">
        <f>SQRT(L10)</f>
        <v>0.25873624493766706</v>
      </c>
      <c r="L14" s="34"/>
      <c r="N14" s="5" t="s">
        <v>33</v>
      </c>
      <c r="O14" s="12">
        <f>((D14-B14)/6)^2</f>
        <v>6.9444444444444441E-3</v>
      </c>
    </row>
    <row r="15" spans="1:15" x14ac:dyDescent="0.25">
      <c r="A15" s="21" t="s">
        <v>50</v>
      </c>
      <c r="B15" s="1">
        <v>0.5</v>
      </c>
      <c r="C15" s="1">
        <v>0.8</v>
      </c>
      <c r="D15" s="1">
        <v>0.9</v>
      </c>
      <c r="E15" s="1" t="s">
        <v>33</v>
      </c>
      <c r="G15" s="5" t="s">
        <v>34</v>
      </c>
      <c r="H15" s="25">
        <f>(B15+4*C15+D15)/6</f>
        <v>0.76666666666666672</v>
      </c>
      <c r="I15" s="1" t="s">
        <v>33</v>
      </c>
      <c r="N15" s="5" t="s">
        <v>34</v>
      </c>
      <c r="O15" s="12">
        <f t="shared" si="2"/>
        <v>4.4444444444444444E-3</v>
      </c>
    </row>
    <row r="16" spans="1:15" x14ac:dyDescent="0.25">
      <c r="A16" s="21" t="s">
        <v>51</v>
      </c>
      <c r="B16" s="1">
        <v>0.5</v>
      </c>
      <c r="C16" s="1">
        <v>0.6</v>
      </c>
      <c r="D16" s="1">
        <v>0.8</v>
      </c>
      <c r="E16" s="1" t="s">
        <v>57</v>
      </c>
      <c r="G16" s="5" t="s">
        <v>35</v>
      </c>
      <c r="H16" s="25">
        <f t="shared" si="1"/>
        <v>0.6166666666666667</v>
      </c>
      <c r="I16" s="1" t="s">
        <v>57</v>
      </c>
      <c r="K16" s="8" t="s">
        <v>29</v>
      </c>
      <c r="N16" s="5" t="s">
        <v>35</v>
      </c>
      <c r="O16" s="12">
        <f t="shared" si="2"/>
        <v>2.5000000000000009E-3</v>
      </c>
    </row>
    <row r="17" spans="1:15" x14ac:dyDescent="0.25">
      <c r="A17" s="21" t="s">
        <v>52</v>
      </c>
      <c r="B17" s="1">
        <v>0.5</v>
      </c>
      <c r="C17" s="1">
        <v>0.7</v>
      </c>
      <c r="D17" s="1">
        <v>0.9</v>
      </c>
      <c r="E17" s="1" t="s">
        <v>35</v>
      </c>
      <c r="G17" s="5" t="s">
        <v>36</v>
      </c>
      <c r="H17" s="25">
        <f t="shared" si="1"/>
        <v>0.70000000000000007</v>
      </c>
      <c r="I17" s="1" t="s">
        <v>35</v>
      </c>
      <c r="K17" s="9" t="s">
        <v>24</v>
      </c>
      <c r="N17" s="5" t="s">
        <v>36</v>
      </c>
      <c r="O17" s="12">
        <f t="shared" si="2"/>
        <v>4.4444444444444444E-3</v>
      </c>
    </row>
    <row r="18" spans="1:15" x14ac:dyDescent="0.25">
      <c r="A18" s="21" t="s">
        <v>53</v>
      </c>
      <c r="B18" s="1">
        <v>0.6</v>
      </c>
      <c r="C18" s="1">
        <v>0.8</v>
      </c>
      <c r="D18" s="1">
        <v>1.5</v>
      </c>
      <c r="E18" s="1" t="s">
        <v>12</v>
      </c>
      <c r="G18" s="5" t="s">
        <v>37</v>
      </c>
      <c r="H18" s="25">
        <f t="shared" si="1"/>
        <v>0.88333333333333341</v>
      </c>
      <c r="I18" s="1" t="s">
        <v>36</v>
      </c>
      <c r="K18" s="9" t="s">
        <v>31</v>
      </c>
      <c r="N18" s="5" t="s">
        <v>37</v>
      </c>
      <c r="O18" s="12">
        <f t="shared" si="2"/>
        <v>2.2499999999999999E-2</v>
      </c>
    </row>
    <row r="19" spans="1:15" x14ac:dyDescent="0.25">
      <c r="A19" s="20" t="s">
        <v>54</v>
      </c>
      <c r="B19" s="1">
        <v>0.7</v>
      </c>
      <c r="C19" s="1">
        <v>0.8</v>
      </c>
      <c r="D19" s="1">
        <v>0.9</v>
      </c>
      <c r="E19" s="3" t="s">
        <v>37</v>
      </c>
      <c r="G19" s="14" t="s">
        <v>38</v>
      </c>
      <c r="H19" s="25">
        <f t="shared" si="1"/>
        <v>0.80000000000000016</v>
      </c>
      <c r="I19" s="3" t="s">
        <v>37</v>
      </c>
      <c r="J19" s="2"/>
      <c r="K19" s="10">
        <f>(8-7.5)/K14</f>
        <v>1.9324698792024926</v>
      </c>
      <c r="N19" s="5" t="s">
        <v>38</v>
      </c>
      <c r="O19" s="12">
        <f>((D19-B19)/6)^2</f>
        <v>1.111111111111112E-3</v>
      </c>
    </row>
    <row r="20" spans="1:15" x14ac:dyDescent="0.25">
      <c r="A20" s="22"/>
      <c r="B20" s="16"/>
      <c r="C20" s="16"/>
      <c r="D20" s="16"/>
      <c r="E20" s="16"/>
      <c r="G20" s="15"/>
      <c r="H20" s="18"/>
      <c r="I20" s="16"/>
      <c r="J20" s="2"/>
    </row>
    <row r="21" spans="1:15" x14ac:dyDescent="0.25">
      <c r="J21" s="2"/>
      <c r="K21" s="35" t="s">
        <v>28</v>
      </c>
      <c r="L21" s="35"/>
    </row>
    <row r="22" spans="1:15" x14ac:dyDescent="0.25">
      <c r="J22" s="2"/>
      <c r="K22" s="33">
        <v>0.97319999999999995</v>
      </c>
      <c r="L22" s="33"/>
    </row>
    <row r="23" spans="1:15" x14ac:dyDescent="0.25">
      <c r="J23" s="2"/>
    </row>
    <row r="24" spans="1:15" x14ac:dyDescent="0.25">
      <c r="J24" s="2"/>
    </row>
    <row r="25" spans="1:15" x14ac:dyDescent="0.25">
      <c r="J25" s="2"/>
      <c r="K25" s="30"/>
      <c r="L25" s="31"/>
    </row>
    <row r="26" spans="1:15" x14ac:dyDescent="0.25">
      <c r="J26" s="2"/>
      <c r="K26" s="30"/>
      <c r="L26" s="31"/>
    </row>
    <row r="27" spans="1:15" x14ac:dyDescent="0.25">
      <c r="J27" s="2"/>
      <c r="K27" s="30"/>
      <c r="L27" s="31"/>
    </row>
    <row r="28" spans="1:15" x14ac:dyDescent="0.25">
      <c r="J28" s="2"/>
      <c r="K28" s="30"/>
      <c r="L28" s="31"/>
    </row>
    <row r="29" spans="1:15" x14ac:dyDescent="0.25">
      <c r="J29" s="2"/>
      <c r="K29" s="30"/>
      <c r="L29" s="31"/>
    </row>
    <row r="30" spans="1:15" x14ac:dyDescent="0.25">
      <c r="K30" s="29"/>
      <c r="L30" s="29"/>
    </row>
    <row r="31" spans="1:15" x14ac:dyDescent="0.25">
      <c r="A31" s="24"/>
      <c r="K31" s="29"/>
      <c r="L31" s="29"/>
    </row>
    <row r="32" spans="1:15" x14ac:dyDescent="0.25">
      <c r="B32" s="4"/>
      <c r="C32" s="4"/>
      <c r="D32" s="4"/>
      <c r="E32" s="4"/>
      <c r="F32" s="4"/>
      <c r="G32" s="4"/>
      <c r="H32" s="4"/>
      <c r="I32" s="4"/>
      <c r="K32" s="29"/>
      <c r="L32" s="29"/>
    </row>
    <row r="33" spans="2:12" x14ac:dyDescent="0.25">
      <c r="B33" s="4"/>
      <c r="C33" s="4"/>
      <c r="D33" s="4"/>
      <c r="E33" s="4"/>
      <c r="F33" s="4"/>
      <c r="G33" s="4"/>
      <c r="H33" s="4"/>
      <c r="I33" s="4"/>
      <c r="K33" s="29"/>
      <c r="L33" s="29"/>
    </row>
    <row r="34" spans="2:12" x14ac:dyDescent="0.25">
      <c r="B34" s="4"/>
      <c r="C34" s="4"/>
      <c r="D34" s="4"/>
      <c r="E34" s="4"/>
      <c r="F34" s="4"/>
      <c r="G34" s="4"/>
      <c r="H34" s="4"/>
      <c r="I34" s="4"/>
      <c r="K34" s="29"/>
      <c r="L34" s="29"/>
    </row>
  </sheetData>
  <mergeCells count="9">
    <mergeCell ref="A1:A2"/>
    <mergeCell ref="B1:D1"/>
    <mergeCell ref="G1:G2"/>
    <mergeCell ref="K22:L22"/>
    <mergeCell ref="K14:L14"/>
    <mergeCell ref="K21:L21"/>
    <mergeCell ref="K13:L13"/>
    <mergeCell ref="N1:O1"/>
    <mergeCell ref="N2:O2"/>
  </mergeCells>
  <conditionalFormatting sqref="G30 H30:H31 M2:M29">
    <cfRule type="duplicateValues" dxfId="3" priority="62"/>
  </conditionalFormatting>
  <conditionalFormatting sqref="K2:K6">
    <cfRule type="duplicateValues" dxfId="2" priority="57"/>
  </conditionalFormatting>
  <conditionalFormatting sqref="F30 K2:K6 K25:K29">
    <cfRule type="duplicateValues" dxfId="1" priority="48"/>
  </conditionalFormatting>
  <conditionalFormatting sqref="K2:K6 K25:K29">
    <cfRule type="duplicateValues" dxfId="0" priority="59"/>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dc:creator>
  <cp:keywords/>
  <dc:description/>
  <cp:lastModifiedBy>karol ochoa</cp:lastModifiedBy>
  <cp:revision/>
  <dcterms:created xsi:type="dcterms:W3CDTF">2022-10-15T19:55:04Z</dcterms:created>
  <dcterms:modified xsi:type="dcterms:W3CDTF">2026-02-21T07:45:05Z</dcterms:modified>
  <cp:category/>
  <cp:contentStatus/>
</cp:coreProperties>
</file>